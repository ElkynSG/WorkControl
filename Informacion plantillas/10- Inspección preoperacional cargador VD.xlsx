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06-MANTENIMIENTO\Formatos\Elkin\"/>
    </mc:Choice>
  </mc:AlternateContent>
  <xr:revisionPtr revIDLastSave="0" documentId="8_{73372A56-2891-4470-BB4A-8BBA1E182BA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ntrol de Cambios " sheetId="3" r:id="rId1"/>
    <sheet name="FT-MANT-01" sheetId="4" r:id="rId2"/>
  </sheets>
  <externalReferences>
    <externalReference r:id="rId3"/>
    <externalReference r:id="rId4"/>
  </externalReferences>
  <definedNames>
    <definedName name="AÑO">#REF!</definedName>
    <definedName name="_xlnm.Print_Area" localSheetId="0">'Control de Cambios '!$A$1:$G$36</definedName>
    <definedName name="_xlnm.Print_Area" localSheetId="1">'FT-MANT-01'!$A$1:$P$34</definedName>
    <definedName name="Cargos">[1]Datos!$D$2:$D$39</definedName>
    <definedName name="CERT">#REF!</definedName>
    <definedName name="CREDITO">#REF!</definedName>
    <definedName name="DEPENDIENTE">#REF!</definedName>
    <definedName name="DEPENDIENTE2" localSheetId="0">[2]Hoja1!$C$1:$C$65536</definedName>
    <definedName name="DEPENDIENTE2">[2]Hoja1!$C$1:$C$65536</definedName>
    <definedName name="DÍA">#REF!</definedName>
    <definedName name="EXPERIENCIA">#REF!</definedName>
    <definedName name="GARANTIA">#REF!</definedName>
    <definedName name="INDEPENDIENTE">#REF!</definedName>
    <definedName name="INDEPENDIENTE2" localSheetId="0">[2]Hoja1!$B$1:$B$65536</definedName>
    <definedName name="INDEPENDIENTE2">[2]Hoja1!$B$1:$B$65536</definedName>
    <definedName name="INFO">#REF!</definedName>
    <definedName name="INICIO">#REF!</definedName>
    <definedName name="INICIO2">[2]Hoja1!$B$1</definedName>
    <definedName name="LISTA">#REF!</definedName>
    <definedName name="LISTA2">[2]Hoja1!$A$2:$A$10</definedName>
    <definedName name="MENSAJEERROR">#REF!</definedName>
    <definedName name="MENSAJEERROR2">[2]Hoja1!$D$1</definedName>
    <definedName name="MES">#REF!</definedName>
    <definedName name="PLAZO">#REF!</definedName>
    <definedName name="TIPOD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4" l="1"/>
  <c r="N2" i="4"/>
  <c r="N1" i="4"/>
  <c r="D1" i="4"/>
  <c r="I36" i="3" l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</calcChain>
</file>

<file path=xl/sharedStrings.xml><?xml version="1.0" encoding="utf-8"?>
<sst xmlns="http://schemas.openxmlformats.org/spreadsheetml/2006/main" count="142" uniqueCount="95">
  <si>
    <t>Fecha</t>
  </si>
  <si>
    <t>Señale su respuesta con una ´´X´´</t>
  </si>
  <si>
    <t>VERIFICACIONES</t>
  </si>
  <si>
    <t>B</t>
  </si>
  <si>
    <t>M</t>
  </si>
  <si>
    <t>OPERADOR      ______________________________________</t>
  </si>
  <si>
    <t>Código del documento:</t>
  </si>
  <si>
    <t>Versión No.</t>
  </si>
  <si>
    <t>Descripción de la modificación</t>
  </si>
  <si>
    <t>Responsable</t>
  </si>
  <si>
    <t xml:space="preserve"> </t>
  </si>
  <si>
    <t>Estado de estribos y pasamanos</t>
  </si>
  <si>
    <t xml:space="preserve">Gerente </t>
  </si>
  <si>
    <t xml:space="preserve">CONTROL DE CAMBIOS   </t>
  </si>
  <si>
    <t>PARE</t>
  </si>
  <si>
    <t xml:space="preserve">PARE </t>
  </si>
  <si>
    <t>X</t>
  </si>
  <si>
    <t>___________________________________________________________________________________________________________________________________</t>
  </si>
  <si>
    <t>Se incluye columna PARE para indicar cuando el equipo no puede iniciar operaciones</t>
  </si>
  <si>
    <t>Bloqueo y Etiquetado</t>
  </si>
  <si>
    <t>Nivel de Aceite de Motor</t>
  </si>
  <si>
    <t>Fugas de combustible Apagado</t>
  </si>
  <si>
    <t>Fugas de aceite Apagado</t>
  </si>
  <si>
    <t>Fugas de aceite - Encendido</t>
  </si>
  <si>
    <t>Fugas de combustible - Encendido</t>
  </si>
  <si>
    <t>Estado Alarma de reversa</t>
  </si>
  <si>
    <t>Estado de sistema de Plumillas</t>
  </si>
  <si>
    <t>Apagado de equipo</t>
  </si>
  <si>
    <t>Retira Tacos</t>
  </si>
  <si>
    <t>Encendido de equipo</t>
  </si>
  <si>
    <t>Estado de llantas, rines, pernos, balde</t>
  </si>
  <si>
    <t>LISTA DE CHEQUEO DE INSPECCION DE EQUIPO</t>
  </si>
  <si>
    <t>Bajar el capo</t>
  </si>
  <si>
    <t>SUPERVISOR ______________________________________</t>
  </si>
  <si>
    <t>Engrasado de pasadores de levante y centro</t>
  </si>
  <si>
    <t>Estado de mangueras y cilindros</t>
  </si>
  <si>
    <t>Se adiciona la casilla de Equipo propio y Contratista</t>
  </si>
  <si>
    <t>Se cambia la codificación de este documento ya que este corresponde al proceso de Mantenimiento</t>
  </si>
  <si>
    <t>Coordinador HSEQ</t>
  </si>
  <si>
    <t>Se modifica el logo de la empresa debido al cambio por razón social</t>
  </si>
  <si>
    <t>OBSERVACIONES   ___________________________________________________________________________________________________________________________________</t>
  </si>
  <si>
    <t>Control de Cambios de estructura y actualización de formato</t>
  </si>
  <si>
    <t>FT-MANT-01</t>
  </si>
  <si>
    <t>Cambio por estructura del formato</t>
  </si>
  <si>
    <t>El cambio corresponde a:
 Cambio por estructura del formato o
 Cambio por actualización del documento</t>
  </si>
  <si>
    <t>Cambio por actualización del documento</t>
  </si>
  <si>
    <t>Se Modifica el orden de los elementos a verificar y se adicionan otros</t>
  </si>
  <si>
    <t>Versión:</t>
  </si>
  <si>
    <t>Fecha:</t>
  </si>
  <si>
    <t>Código:</t>
  </si>
  <si>
    <t>INSPECCION PREOPERACIONAL DE CARGADOR</t>
  </si>
  <si>
    <t>Se realiza cambio de logo, se modifica el tipo de letra, se cambia el color de las celdas, se cambia el nombre del documento antes FT-MANT-02 Formato inspección preoperacional, ahora FT-MANT-01  Inspección preoperacional de cargador</t>
  </si>
  <si>
    <t>Nivel de liquido refrigerante</t>
  </si>
  <si>
    <t>Inspección alrededor de Equipo</t>
  </si>
  <si>
    <t>Nivel aceite hidráulico</t>
  </si>
  <si>
    <t>Estado y tensión de correas</t>
  </si>
  <si>
    <t>Nota: En caso de que algunos ITEM´S se marque en la columna M y este marcado de igual forma en la columna PARE, el equipo no podrá iniciar operaciones.</t>
  </si>
  <si>
    <t>EQUIPO:</t>
  </si>
  <si>
    <t>CODIGO MAQUINA:</t>
  </si>
  <si>
    <t>HOROMETRO:</t>
  </si>
  <si>
    <t>FECHA:</t>
  </si>
  <si>
    <t>LUGAR:</t>
  </si>
  <si>
    <t>HORA:</t>
  </si>
  <si>
    <t>Se realiza modificación en la estructura del control de cambio</t>
  </si>
  <si>
    <t>Creación del documento</t>
  </si>
  <si>
    <t xml:space="preserve"> Modificación de lista de verificación </t>
  </si>
  <si>
    <t>Se incluye la verificación de la luz estroboscópica o Baliza</t>
  </si>
  <si>
    <t>Se incluye los ítems de verificación de radiador y espejos</t>
  </si>
  <si>
    <t>Se adiciona el componente cámara de retroceso y se marca como punto critico, adicionalmente se marca como critico el cinturón de seguridad, espejos y Aire acondicionado</t>
  </si>
  <si>
    <t xml:space="preserve">Se adiciona una casilla mas relacionada a la limpieza y desinfección como medida de prevención frente al contagio por SARS-CoV-2 </t>
  </si>
  <si>
    <t>Niviel de Aceite Servo - Transmisión</t>
  </si>
  <si>
    <t>Estado y sopleteo de Radiador</t>
  </si>
  <si>
    <t>Revisión de ajuste  de crucetas</t>
  </si>
  <si>
    <t>Cambio de Filtros de Aire de Motor</t>
  </si>
  <si>
    <t xml:space="preserve">    Realizar limpieza de cabina</t>
  </si>
  <si>
    <t xml:space="preserve">Funcionamiento de pito </t>
  </si>
  <si>
    <t xml:space="preserve">    Verificar sistema de A/Acond</t>
  </si>
  <si>
    <t xml:space="preserve">  Estado de direccionales</t>
  </si>
  <si>
    <t xml:space="preserve">  Estado luces de stop</t>
  </si>
  <si>
    <t xml:space="preserve">  Estado Luces de trabajo</t>
  </si>
  <si>
    <t xml:space="preserve">  Estado luces exploradoras cabina</t>
  </si>
  <si>
    <t xml:space="preserve">  Presion llantas Trase. Izq:(         )  Der:(         )</t>
  </si>
  <si>
    <t xml:space="preserve">   Vidrios y Espejos</t>
  </si>
  <si>
    <t xml:space="preserve">   Estado de luz Estroboscópica-(Baliza)</t>
  </si>
  <si>
    <t xml:space="preserve">  Encendido de maquina</t>
  </si>
  <si>
    <t xml:space="preserve">  Revisión de indicadores de tablero</t>
  </si>
  <si>
    <t xml:space="preserve">  Monitor y Cámara de retroceso</t>
  </si>
  <si>
    <t xml:space="preserve">  Estado de silla del operador</t>
  </si>
  <si>
    <t xml:space="preserve">  Estado del cinturón de seguridad</t>
  </si>
  <si>
    <t xml:space="preserve">  Desbloqueo del equipo</t>
  </si>
  <si>
    <t xml:space="preserve">  Presion llantas Delan. Izq:(        )  Der:(         )</t>
  </si>
  <si>
    <t>Se realiza actualizacion de items</t>
  </si>
  <si>
    <t>PROPIETARIO</t>
  </si>
  <si>
    <t>EMPRESA CLIENTE</t>
  </si>
  <si>
    <t>Prueba frenos de servicio y de parqueo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</si>
</sst>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€-2]* #,##0.00_-;\-[$€-2]* #,##0.00_-;_-[$€-2]* &quot;-&quot;??_-"/>
    <numFmt numFmtId="166" formatCode="[$-C0A]d\-mmm\-yy;@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sz val="10"/>
      <color rgb="FF000000"/>
      <name val="Muller Regular"/>
    </font>
    <font>
      <b/>
      <sz val="18"/>
      <name val="Muller Regular"/>
    </font>
    <font>
      <b/>
      <sz val="10"/>
      <color theme="0"/>
      <name val="Muller Regular"/>
    </font>
    <font>
      <sz val="10"/>
      <color theme="0"/>
      <name val="Muller Regular"/>
    </font>
    <font>
      <b/>
      <sz val="10"/>
      <name val="Muller Regular"/>
    </font>
    <font>
      <b/>
      <sz val="16"/>
      <name val="Muller Regula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004164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62">
    <xf numFmtId="0" fontId="0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3" applyNumberFormat="0" applyAlignment="0" applyProtection="0"/>
    <xf numFmtId="0" fontId="8" fillId="19" borderId="4" applyNumberFormat="0" applyAlignment="0" applyProtection="0"/>
    <xf numFmtId="0" fontId="9" fillId="0" borderId="5" applyNumberFormat="0" applyFill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12" fillId="9" borderId="3" applyNumberFormat="0" applyAlignment="0" applyProtection="0"/>
    <xf numFmtId="165" fontId="13" fillId="0" borderId="0" applyFont="0" applyFill="0" applyBorder="0" applyAlignment="0" applyProtection="0"/>
    <xf numFmtId="0" fontId="14" fillId="5" borderId="0" applyNumberFormat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5" fillId="24" borderId="0" applyNumberFormat="0" applyBorder="0" applyAlignment="0" applyProtection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25" borderId="6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1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147">
    <xf numFmtId="0" fontId="0" fillId="0" borderId="0" xfId="0"/>
    <xf numFmtId="0" fontId="23" fillId="0" borderId="0" xfId="39" applyFont="1" applyAlignment="1">
      <alignment horizontal="center"/>
    </xf>
    <xf numFmtId="0" fontId="23" fillId="0" borderId="0" xfId="39" applyFont="1"/>
    <xf numFmtId="0" fontId="23" fillId="0" borderId="0" xfId="39" applyFont="1" applyAlignment="1">
      <alignment wrapText="1"/>
    </xf>
    <xf numFmtId="0" fontId="23" fillId="3" borderId="0" xfId="39" applyFont="1" applyFill="1" applyAlignment="1">
      <alignment horizontal="center" vertical="center" wrapText="1"/>
    </xf>
    <xf numFmtId="0" fontId="26" fillId="0" borderId="0" xfId="39" applyFont="1" applyAlignment="1" applyProtection="1">
      <alignment vertical="center"/>
      <protection hidden="1"/>
    </xf>
    <xf numFmtId="0" fontId="23" fillId="0" borderId="12" xfId="39" applyFont="1" applyBorder="1" applyAlignment="1" applyProtection="1">
      <alignment horizontal="center" vertical="center" wrapText="1"/>
      <protection locked="0"/>
    </xf>
    <xf numFmtId="166" fontId="23" fillId="0" borderId="12" xfId="39" applyNumberFormat="1" applyFont="1" applyBorder="1" applyAlignment="1" applyProtection="1">
      <alignment horizontal="center" vertical="center" wrapText="1"/>
      <protection locked="0"/>
    </xf>
    <xf numFmtId="0" fontId="23" fillId="2" borderId="22" xfId="39" applyFont="1" applyFill="1" applyBorder="1" applyAlignment="1" applyProtection="1">
      <alignment horizontal="center" vertical="center" wrapText="1"/>
      <protection locked="0"/>
    </xf>
    <xf numFmtId="166" fontId="23" fillId="2" borderId="22" xfId="39" applyNumberFormat="1" applyFont="1" applyFill="1" applyBorder="1" applyAlignment="1" applyProtection="1">
      <alignment horizontal="center" vertical="center" wrapText="1"/>
      <protection locked="0"/>
    </xf>
    <xf numFmtId="0" fontId="23" fillId="2" borderId="22" xfId="39" applyFont="1" applyFill="1" applyBorder="1" applyAlignment="1" applyProtection="1">
      <alignment horizontal="justify" vertical="justify" wrapText="1"/>
      <protection locked="0"/>
    </xf>
    <xf numFmtId="0" fontId="23" fillId="0" borderId="12" xfId="39" applyFont="1" applyBorder="1" applyAlignment="1" applyProtection="1">
      <alignment horizontal="justify" vertical="justify" wrapText="1"/>
      <protection locked="0"/>
    </xf>
    <xf numFmtId="0" fontId="23" fillId="0" borderId="12" xfId="39" applyFont="1" applyBorder="1" applyAlignment="1" applyProtection="1">
      <alignment horizontal="justify" vertical="center" wrapText="1"/>
      <protection locked="0"/>
    </xf>
    <xf numFmtId="0" fontId="23" fillId="0" borderId="0" xfId="0" applyFont="1"/>
    <xf numFmtId="0" fontId="23" fillId="2" borderId="1" xfId="0" applyFont="1" applyFill="1" applyBorder="1"/>
    <xf numFmtId="0" fontId="23" fillId="2" borderId="0" xfId="0" applyFont="1" applyFill="1"/>
    <xf numFmtId="0" fontId="23" fillId="0" borderId="12" xfId="0" applyFont="1" applyBorder="1" applyAlignment="1">
      <alignment horizontal="center"/>
    </xf>
    <xf numFmtId="0" fontId="23" fillId="0" borderId="19" xfId="0" applyFont="1" applyBorder="1"/>
    <xf numFmtId="0" fontId="23" fillId="0" borderId="12" xfId="0" applyFont="1" applyBorder="1"/>
    <xf numFmtId="0" fontId="23" fillId="3" borderId="0" xfId="0" applyFont="1" applyFill="1"/>
    <xf numFmtId="0" fontId="23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vertical="center"/>
    </xf>
    <xf numFmtId="0" fontId="26" fillId="26" borderId="12" xfId="0" applyFont="1" applyFill="1" applyBorder="1" applyAlignment="1">
      <alignment horizontal="center"/>
    </xf>
    <xf numFmtId="0" fontId="26" fillId="2" borderId="12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/>
    </xf>
    <xf numFmtId="0" fontId="26" fillId="27" borderId="33" xfId="39" applyFont="1" applyFill="1" applyBorder="1" applyAlignment="1" applyProtection="1">
      <alignment vertical="center"/>
      <protection locked="0"/>
    </xf>
    <xf numFmtId="0" fontId="26" fillId="27" borderId="34" xfId="39" applyFont="1" applyFill="1" applyBorder="1" applyAlignment="1" applyProtection="1">
      <alignment vertical="center"/>
      <protection locked="0"/>
    </xf>
    <xf numFmtId="0" fontId="26" fillId="27" borderId="35" xfId="39" applyFont="1" applyFill="1" applyBorder="1" applyAlignment="1" applyProtection="1">
      <alignment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2" xfId="0" applyFont="1" applyBorder="1" applyAlignment="1">
      <alignment horizontal="left" indent="1"/>
    </xf>
    <xf numFmtId="0" fontId="23" fillId="2" borderId="12" xfId="0" applyFont="1" applyFill="1" applyBorder="1" applyAlignment="1">
      <alignment horizontal="left" indent="1"/>
    </xf>
    <xf numFmtId="14" fontId="28" fillId="0" borderId="26" xfId="0" applyNumberFormat="1" applyFont="1" applyBorder="1" applyAlignment="1" applyProtection="1">
      <alignment horizontal="right" vertical="center" wrapText="1" indent="3"/>
      <protection hidden="1"/>
    </xf>
    <xf numFmtId="0" fontId="28" fillId="0" borderId="27" xfId="0" applyFont="1" applyBorder="1" applyAlignment="1" applyProtection="1">
      <alignment horizontal="right" vertical="center" wrapText="1" indent="3"/>
      <protection hidden="1"/>
    </xf>
    <xf numFmtId="0" fontId="26" fillId="27" borderId="47" xfId="0" applyFont="1" applyFill="1" applyBorder="1" applyAlignment="1">
      <alignment horizontal="center" vertical="center" wrapText="1"/>
    </xf>
    <xf numFmtId="0" fontId="26" fillId="27" borderId="49" xfId="0" applyFont="1" applyFill="1" applyBorder="1" applyAlignment="1">
      <alignment horizontal="center" vertical="center" wrapText="1"/>
    </xf>
    <xf numFmtId="0" fontId="26" fillId="27" borderId="48" xfId="0" applyFont="1" applyFill="1" applyBorder="1" applyAlignment="1">
      <alignment horizontal="center" vertical="center" wrapText="1"/>
    </xf>
    <xf numFmtId="0" fontId="26" fillId="27" borderId="47" xfId="0" applyFont="1" applyFill="1" applyBorder="1" applyAlignment="1">
      <alignment horizontal="center" vertical="center"/>
    </xf>
    <xf numFmtId="0" fontId="26" fillId="27" borderId="4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6" fillId="27" borderId="24" xfId="0" applyFont="1" applyFill="1" applyBorder="1" applyAlignment="1">
      <alignment horizontal="right" vertical="center" indent="1"/>
    </xf>
    <xf numFmtId="0" fontId="26" fillId="27" borderId="56" xfId="0" applyFont="1" applyFill="1" applyBorder="1" applyAlignment="1">
      <alignment horizontal="right" vertical="center" indent="1"/>
    </xf>
    <xf numFmtId="0" fontId="26" fillId="27" borderId="57" xfId="0" applyFont="1" applyFill="1" applyBorder="1" applyAlignment="1">
      <alignment horizontal="right" vertical="center" indent="1"/>
    </xf>
    <xf numFmtId="0" fontId="28" fillId="0" borderId="66" xfId="0" applyFont="1" applyBorder="1" applyAlignment="1" applyProtection="1">
      <alignment horizontal="right" vertical="center" wrapText="1" indent="3"/>
      <protection hidden="1"/>
    </xf>
    <xf numFmtId="0" fontId="28" fillId="2" borderId="0" xfId="0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/>
    <xf numFmtId="0" fontId="23" fillId="0" borderId="14" xfId="0" applyFont="1" applyBorder="1" applyAlignment="1">
      <alignment horizontal="left" wrapText="1" indent="1"/>
    </xf>
    <xf numFmtId="0" fontId="23" fillId="0" borderId="15" xfId="0" applyFont="1" applyBorder="1" applyAlignment="1">
      <alignment horizontal="left" wrapText="1" indent="1"/>
    </xf>
    <xf numFmtId="0" fontId="23" fillId="0" borderId="13" xfId="0" applyFont="1" applyBorder="1" applyAlignment="1">
      <alignment vertical="center"/>
    </xf>
    <xf numFmtId="0" fontId="26" fillId="0" borderId="19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27" borderId="31" xfId="39" applyFont="1" applyFill="1" applyBorder="1" applyAlignment="1" applyProtection="1">
      <alignment horizontal="center" vertical="center"/>
      <protection hidden="1"/>
    </xf>
    <xf numFmtId="0" fontId="26" fillId="27" borderId="33" xfId="39" applyFont="1" applyFill="1" applyBorder="1" applyAlignment="1" applyProtection="1">
      <alignment horizontal="center" vertical="center"/>
      <protection hidden="1"/>
    </xf>
    <xf numFmtId="0" fontId="26" fillId="27" borderId="34" xfId="39" applyFont="1" applyFill="1" applyBorder="1" applyAlignment="1" applyProtection="1">
      <alignment horizontal="center" vertical="center"/>
      <protection hidden="1"/>
    </xf>
    <xf numFmtId="0" fontId="26" fillId="27" borderId="35" xfId="39" applyFont="1" applyFill="1" applyBorder="1" applyAlignment="1" applyProtection="1">
      <alignment horizontal="center" vertical="center"/>
      <protection hidden="1"/>
    </xf>
    <xf numFmtId="0" fontId="24" fillId="2" borderId="32" xfId="39" applyFont="1" applyFill="1" applyBorder="1" applyAlignment="1">
      <alignment horizontal="center" vertical="center" wrapText="1"/>
    </xf>
    <xf numFmtId="0" fontId="25" fillId="0" borderId="36" xfId="39" applyFont="1" applyBorder="1" applyAlignment="1" applyProtection="1">
      <alignment horizontal="center" vertical="center" wrapText="1"/>
      <protection locked="0"/>
    </xf>
    <xf numFmtId="0" fontId="25" fillId="0" borderId="37" xfId="39" applyFont="1" applyBorder="1" applyAlignment="1" applyProtection="1">
      <alignment horizontal="center" vertical="center" wrapText="1"/>
      <protection locked="0"/>
    </xf>
    <xf numFmtId="0" fontId="25" fillId="0" borderId="38" xfId="39" applyFont="1" applyBorder="1" applyAlignment="1" applyProtection="1">
      <alignment horizontal="center" vertical="center" wrapText="1"/>
      <protection locked="0"/>
    </xf>
    <xf numFmtId="0" fontId="25" fillId="0" borderId="39" xfId="39" applyFont="1" applyBorder="1" applyAlignment="1" applyProtection="1">
      <alignment horizontal="center" vertical="center" wrapText="1"/>
      <protection locked="0"/>
    </xf>
    <xf numFmtId="0" fontId="25" fillId="0" borderId="0" xfId="39" applyFont="1" applyAlignment="1" applyProtection="1">
      <alignment horizontal="center" vertical="center" wrapText="1"/>
      <protection locked="0"/>
    </xf>
    <xf numFmtId="0" fontId="25" fillId="0" borderId="40" xfId="39" applyFont="1" applyBorder="1" applyAlignment="1" applyProtection="1">
      <alignment horizontal="center" vertical="center" wrapText="1"/>
      <protection locked="0"/>
    </xf>
    <xf numFmtId="0" fontId="25" fillId="0" borderId="41" xfId="39" applyFont="1" applyBorder="1" applyAlignment="1" applyProtection="1">
      <alignment horizontal="center" vertical="center" wrapText="1"/>
      <protection locked="0"/>
    </xf>
    <xf numFmtId="0" fontId="25" fillId="0" borderId="42" xfId="39" applyFont="1" applyBorder="1" applyAlignment="1" applyProtection="1">
      <alignment horizontal="center" vertical="center" wrapText="1"/>
      <protection locked="0"/>
    </xf>
    <xf numFmtId="0" fontId="25" fillId="0" borderId="43" xfId="39" applyFont="1" applyBorder="1" applyAlignment="1" applyProtection="1">
      <alignment horizontal="center" vertical="center" wrapText="1"/>
      <protection locked="0"/>
    </xf>
    <xf numFmtId="0" fontId="26" fillId="27" borderId="31" xfId="39" applyFont="1" applyFill="1" applyBorder="1" applyAlignment="1" applyProtection="1">
      <alignment horizontal="center" vertical="center" wrapText="1"/>
      <protection hidden="1"/>
    </xf>
    <xf numFmtId="0" fontId="27" fillId="27" borderId="31" xfId="39" applyFont="1" applyFill="1" applyBorder="1" applyAlignment="1" applyProtection="1">
      <alignment horizontal="center"/>
      <protection hidden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2" borderId="63" xfId="0" applyFont="1" applyFill="1" applyBorder="1" applyAlignment="1" applyProtection="1">
      <alignment horizontal="center" vertical="center" wrapText="1"/>
      <protection hidden="1"/>
    </xf>
    <xf numFmtId="0" fontId="28" fillId="2" borderId="64" xfId="0" applyFont="1" applyFill="1" applyBorder="1" applyAlignment="1" applyProtection="1">
      <alignment horizontal="center" vertical="center" wrapText="1"/>
      <protection hidden="1"/>
    </xf>
    <xf numFmtId="0" fontId="28" fillId="2" borderId="28" xfId="0" applyFont="1" applyFill="1" applyBorder="1" applyAlignment="1" applyProtection="1">
      <alignment horizontal="center" vertical="center" wrapText="1"/>
      <protection hidden="1"/>
    </xf>
    <xf numFmtId="0" fontId="28" fillId="2" borderId="12" xfId="0" applyFont="1" applyFill="1" applyBorder="1" applyAlignment="1" applyProtection="1">
      <alignment horizontal="center" vertical="center" wrapText="1"/>
      <protection hidden="1"/>
    </xf>
    <xf numFmtId="0" fontId="29" fillId="0" borderId="64" xfId="0" applyFont="1" applyBorder="1" applyAlignment="1" applyProtection="1">
      <alignment horizontal="center" vertical="center" wrapText="1"/>
      <protection hidden="1"/>
    </xf>
    <xf numFmtId="0" fontId="29" fillId="0" borderId="65" xfId="0" applyFont="1" applyBorder="1" applyAlignment="1" applyProtection="1">
      <alignment horizontal="center" vertical="center" wrapText="1"/>
      <protection hidden="1"/>
    </xf>
    <xf numFmtId="0" fontId="29" fillId="0" borderId="12" xfId="0" applyFont="1" applyBorder="1" applyAlignment="1" applyProtection="1">
      <alignment horizontal="center" vertical="center" wrapText="1"/>
      <protection hidden="1"/>
    </xf>
    <xf numFmtId="0" fontId="29" fillId="0" borderId="13" xfId="0" applyFont="1" applyBorder="1" applyAlignment="1" applyProtection="1">
      <alignment horizontal="center" vertical="center" wrapText="1"/>
      <protection hidden="1"/>
    </xf>
    <xf numFmtId="0" fontId="28" fillId="0" borderId="67" xfId="0" applyFont="1" applyBorder="1" applyAlignment="1" applyProtection="1">
      <alignment horizontal="left" vertical="center" wrapText="1" indent="1"/>
      <protection hidden="1"/>
    </xf>
    <xf numFmtId="0" fontId="28" fillId="0" borderId="68" xfId="0" applyFont="1" applyBorder="1" applyAlignment="1" applyProtection="1">
      <alignment horizontal="left" vertical="center" wrapText="1" indent="1"/>
      <protection hidden="1"/>
    </xf>
    <xf numFmtId="1" fontId="28" fillId="0" borderId="0" xfId="0" applyNumberFormat="1" applyFont="1" applyAlignment="1" applyProtection="1">
      <alignment horizontal="left" vertical="center" wrapText="1" indent="1"/>
      <protection hidden="1"/>
    </xf>
    <xf numFmtId="1" fontId="28" fillId="0" borderId="2" xfId="0" applyNumberFormat="1" applyFont="1" applyBorder="1" applyAlignment="1" applyProtection="1">
      <alignment horizontal="left" vertical="center" wrapText="1" indent="1"/>
      <protection hidden="1"/>
    </xf>
    <xf numFmtId="14" fontId="28" fillId="0" borderId="23" xfId="0" applyNumberFormat="1" applyFont="1" applyBorder="1" applyAlignment="1" applyProtection="1">
      <alignment horizontal="left" vertical="center" wrapText="1" indent="1"/>
      <protection hidden="1"/>
    </xf>
    <xf numFmtId="14" fontId="28" fillId="0" borderId="30" xfId="0" applyNumberFormat="1" applyFont="1" applyBorder="1" applyAlignment="1" applyProtection="1">
      <alignment horizontal="left" vertical="center" wrapText="1" indent="1"/>
      <protection hidden="1"/>
    </xf>
    <xf numFmtId="0" fontId="28" fillId="2" borderId="1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8" fillId="0" borderId="61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6" fillId="27" borderId="58" xfId="0" applyFont="1" applyFill="1" applyBorder="1" applyAlignment="1">
      <alignment horizontal="right" vertical="center" indent="2"/>
    </xf>
    <xf numFmtId="0" fontId="26" fillId="27" borderId="51" xfId="0" applyFont="1" applyFill="1" applyBorder="1" applyAlignment="1">
      <alignment horizontal="right" vertical="center" indent="2"/>
    </xf>
    <xf numFmtId="0" fontId="28" fillId="0" borderId="6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75" xfId="0" applyFont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0" fontId="26" fillId="27" borderId="40" xfId="0" applyFont="1" applyFill="1" applyBorder="1" applyAlignment="1">
      <alignment horizontal="right" vertical="center" indent="2"/>
    </xf>
    <xf numFmtId="0" fontId="26" fillId="27" borderId="44" xfId="0" applyFont="1" applyFill="1" applyBorder="1" applyAlignment="1">
      <alignment horizontal="right" vertical="center" indent="2"/>
    </xf>
    <xf numFmtId="0" fontId="26" fillId="27" borderId="59" xfId="0" applyFont="1" applyFill="1" applyBorder="1" applyAlignment="1">
      <alignment horizontal="right" vertical="center" indent="2"/>
    </xf>
    <xf numFmtId="0" fontId="26" fillId="27" borderId="45" xfId="0" applyFont="1" applyFill="1" applyBorder="1" applyAlignment="1">
      <alignment horizontal="right" vertical="center" indent="2"/>
    </xf>
    <xf numFmtId="0" fontId="26" fillId="27" borderId="60" xfId="0" applyFont="1" applyFill="1" applyBorder="1" applyAlignment="1">
      <alignment horizontal="right" vertical="center" indent="2"/>
    </xf>
    <xf numFmtId="0" fontId="26" fillId="27" borderId="54" xfId="0" applyFont="1" applyFill="1" applyBorder="1" applyAlignment="1">
      <alignment horizontal="right" vertical="center" indent="2"/>
    </xf>
    <xf numFmtId="0" fontId="23" fillId="0" borderId="29" xfId="0" applyFont="1" applyBorder="1" applyAlignment="1">
      <alignment horizontal="left" wrapText="1" indent="1"/>
    </xf>
    <xf numFmtId="0" fontId="23" fillId="0" borderId="14" xfId="0" applyFont="1" applyBorder="1" applyAlignment="1">
      <alignment horizontal="left" wrapText="1" indent="1"/>
    </xf>
    <xf numFmtId="0" fontId="23" fillId="0" borderId="15" xfId="0" applyFont="1" applyBorder="1" applyAlignment="1">
      <alignment horizontal="left" wrapText="1" indent="1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26" fillId="27" borderId="28" xfId="0" applyFont="1" applyFill="1" applyBorder="1" applyAlignment="1">
      <alignment horizontal="center" vertical="center" wrapText="1"/>
    </xf>
    <xf numFmtId="0" fontId="27" fillId="27" borderId="12" xfId="0" applyFont="1" applyFill="1" applyBorder="1" applyAlignment="1">
      <alignment horizontal="center" vertical="center" wrapText="1"/>
    </xf>
    <xf numFmtId="0" fontId="27" fillId="27" borderId="13" xfId="0" applyFont="1" applyFill="1" applyBorder="1" applyAlignment="1">
      <alignment horizontal="center" vertical="center" wrapText="1"/>
    </xf>
    <xf numFmtId="0" fontId="26" fillId="27" borderId="46" xfId="0" applyFont="1" applyFill="1" applyBorder="1" applyAlignment="1">
      <alignment horizontal="center" vertical="center"/>
    </xf>
    <xf numFmtId="0" fontId="27" fillId="27" borderId="12" xfId="0" applyFont="1" applyFill="1" applyBorder="1" applyAlignment="1">
      <alignment horizontal="center" vertical="center"/>
    </xf>
    <xf numFmtId="0" fontId="27" fillId="27" borderId="13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0" fontId="28" fillId="2" borderId="30" xfId="0" applyFont="1" applyFill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/>
    </xf>
    <xf numFmtId="0" fontId="23" fillId="0" borderId="73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8" fillId="2" borderId="17" xfId="0" applyFont="1" applyFill="1" applyBorder="1" applyAlignment="1">
      <alignment horizontal="center" wrapText="1"/>
    </xf>
    <xf numFmtId="0" fontId="28" fillId="2" borderId="21" xfId="0" applyFont="1" applyFill="1" applyBorder="1" applyAlignment="1">
      <alignment horizontal="center" wrapText="1"/>
    </xf>
    <xf numFmtId="0" fontId="28" fillId="2" borderId="18" xfId="0" applyFont="1" applyFill="1" applyBorder="1" applyAlignment="1">
      <alignment horizontal="center" wrapText="1"/>
    </xf>
    <xf numFmtId="0" fontId="23" fillId="2" borderId="20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/>
    </xf>
    <xf numFmtId="0" fontId="28" fillId="0" borderId="70" xfId="0" applyFont="1" applyBorder="1" applyAlignment="1">
      <alignment horizontal="center"/>
    </xf>
    <xf numFmtId="0" fontId="28" fillId="0" borderId="71" xfId="0" applyFont="1" applyBorder="1" applyAlignment="1">
      <alignment horizontal="center"/>
    </xf>
  </cellXfs>
  <cellStyles count="6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Comma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 2" xfId="34" xr:uid="{00000000-0005-0000-0000-000021000000}"/>
    <cellStyle name="Millares 3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 2 2" xfId="39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rmal 6" xfId="60" xr:uid="{00000000-0005-0000-0000-00002E000000}"/>
    <cellStyle name="Notas 2" xfId="46" xr:uid="{00000000-0005-0000-0000-00002F000000}"/>
    <cellStyle name="Percent 2" xfId="47" xr:uid="{00000000-0005-0000-0000-000030000000}"/>
    <cellStyle name="Percent 2 2" xfId="48" xr:uid="{00000000-0005-0000-0000-000031000000}"/>
    <cellStyle name="Percent 3" xfId="49" xr:uid="{00000000-0005-0000-0000-000032000000}"/>
    <cellStyle name="Porcentaje 2" xfId="61" xr:uid="{00000000-0005-0000-0000-000033000000}"/>
    <cellStyle name="Porcentual 2" xfId="50" xr:uid="{00000000-0005-0000-0000-000034000000}"/>
    <cellStyle name="Porcentual 2 2" xfId="51" xr:uid="{00000000-0005-0000-0000-000035000000}"/>
    <cellStyle name="Salida 2" xfId="52" xr:uid="{00000000-0005-0000-0000-000036000000}"/>
    <cellStyle name="Texto de advertencia 2" xfId="53" xr:uid="{00000000-0005-0000-0000-000037000000}"/>
    <cellStyle name="Texto explicativo 2" xfId="54" xr:uid="{00000000-0005-0000-0000-000038000000}"/>
    <cellStyle name="Título 1 2" xfId="55" xr:uid="{00000000-0005-0000-0000-000039000000}"/>
    <cellStyle name="Título 2 2" xfId="56" xr:uid="{00000000-0005-0000-0000-00003A000000}"/>
    <cellStyle name="Título 3 2" xfId="57" xr:uid="{00000000-0005-0000-0000-00003B000000}"/>
    <cellStyle name="Título 4" xfId="58" xr:uid="{00000000-0005-0000-0000-00003C000000}"/>
    <cellStyle name="Total 2" xfId="59" xr:uid="{00000000-0005-0000-0000-00003D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1</xdr:row>
      <xdr:rowOff>76201</xdr:rowOff>
    </xdr:from>
    <xdr:to>
      <xdr:col>2</xdr:col>
      <xdr:colOff>1285876</xdr:colOff>
      <xdr:row>4</xdr:row>
      <xdr:rowOff>30838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3C9587B-0C17-464D-D6EC-33477E3B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238126"/>
          <a:ext cx="2171700" cy="78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71438</xdr:rowOff>
    </xdr:from>
    <xdr:to>
      <xdr:col>2</xdr:col>
      <xdr:colOff>1535906</xdr:colOff>
      <xdr:row>2</xdr:row>
      <xdr:rowOff>251857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0463D3-80E2-415F-AEB6-7C7ED0C5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" y="71438"/>
          <a:ext cx="1950244" cy="7138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Persan%20S.A.S\DV%20Ingenieria\Asesor&#237;a\2.%20Desarrollo%20y%20ejecuci&#243;n\2.3.%20Funciones%20y%20responsabilidades\HSEQ-M02-F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Datos"/>
      <sheetName val="ADMINISTRADOR DE OBRA"/>
    </sheetNames>
    <sheetDataSet>
      <sheetData sheetId="0"/>
      <sheetData sheetId="1">
        <row r="2">
          <cell r="D2" t="str">
            <v>ADMINISTRADOR DE OBRA</v>
          </cell>
        </row>
        <row r="3">
          <cell r="D3" t="str">
            <v>ALMACENISTA</v>
          </cell>
        </row>
        <row r="4">
          <cell r="D4" t="str">
            <v>ASESOR LEGAL</v>
          </cell>
        </row>
        <row r="5">
          <cell r="D5" t="str">
            <v>ASISTENTE ADMINISTRATIVO</v>
          </cell>
        </row>
        <row r="6">
          <cell r="D6" t="str">
            <v>ASISTENTE DE GESTIÓN TÉCNICA</v>
          </cell>
        </row>
        <row r="7">
          <cell r="D7" t="str">
            <v>AUDITORES INTERNOS</v>
          </cell>
        </row>
        <row r="8">
          <cell r="D8" t="str">
            <v>AUXILIAR CONTABLE</v>
          </cell>
        </row>
        <row r="9">
          <cell r="D9" t="str">
            <v>AUXILIAR HSEQ</v>
          </cell>
        </row>
        <row r="10">
          <cell r="D10" t="str">
            <v>AYUDANTE  OBRA ELÉCTRICA</v>
          </cell>
        </row>
        <row r="11">
          <cell r="D11" t="str">
            <v>AYUDANTE OBRA CIVIL</v>
          </cell>
        </row>
        <row r="12">
          <cell r="D12" t="str">
            <v>CADENERO</v>
          </cell>
        </row>
        <row r="13">
          <cell r="D13" t="str">
            <v>CAPATAZ DE OBRA CIVIL</v>
          </cell>
        </row>
        <row r="14">
          <cell r="D14" t="str">
            <v>CAPATAZ ELÉCTRICO</v>
          </cell>
        </row>
        <row r="15">
          <cell r="D15" t="str">
            <v>CONDUCTOR</v>
          </cell>
        </row>
        <row r="16">
          <cell r="D16" t="str">
            <v>CONTADOR</v>
          </cell>
        </row>
        <row r="17">
          <cell r="D17" t="str">
            <v>COORDINADOR HSEQ</v>
          </cell>
        </row>
        <row r="18">
          <cell r="D18" t="str">
            <v>DIRECTOR COMERCIAL</v>
          </cell>
        </row>
        <row r="19">
          <cell r="D19" t="str">
            <v>DIRECTOR DE PROYECTO</v>
          </cell>
        </row>
        <row r="20">
          <cell r="D20" t="str">
            <v>ELECTRICISTA CONEXIONISTA</v>
          </cell>
        </row>
        <row r="21">
          <cell r="D21" t="str">
            <v>GERENTE GENERAL</v>
          </cell>
        </row>
        <row r="22">
          <cell r="D22" t="str">
            <v>INGENIERO AUXILIAR</v>
          </cell>
        </row>
        <row r="23">
          <cell r="D23" t="str">
            <v>INGENIERO DE PROYECTOS</v>
          </cell>
        </row>
        <row r="24">
          <cell r="D24" t="str">
            <v>INTERVENTOR</v>
          </cell>
        </row>
        <row r="25">
          <cell r="D25" t="str">
            <v>MAESTRO DE OBRA CIVIL</v>
          </cell>
        </row>
        <row r="26">
          <cell r="D26" t="str">
            <v>OFICIAL DE MONTAJE</v>
          </cell>
        </row>
        <row r="27">
          <cell r="D27" t="str">
            <v>OFICIAL ELÉCTRICO</v>
          </cell>
        </row>
        <row r="28">
          <cell r="D28" t="str">
            <v>OFICIALES OBRA CIVIL</v>
          </cell>
        </row>
        <row r="29">
          <cell r="D29" t="str">
            <v>OPERADOR CAMIÓN GRÚA</v>
          </cell>
        </row>
        <row r="30">
          <cell r="D30" t="str">
            <v>RESIDENTE DE OBRA CIVIL</v>
          </cell>
        </row>
        <row r="31">
          <cell r="D31" t="str">
            <v>RESIDENTE DE OBRA ELÉCTRICA</v>
          </cell>
        </row>
        <row r="32">
          <cell r="D32" t="str">
            <v>REVISOR FISCAL</v>
          </cell>
        </row>
        <row r="33">
          <cell r="D33" t="str">
            <v>SERVICIOS GENERALES Y MENSAJERÍA</v>
          </cell>
        </row>
        <row r="34">
          <cell r="D34" t="str">
            <v>SUBGERENTE  GENERAL</v>
          </cell>
        </row>
        <row r="35">
          <cell r="D35" t="str">
            <v>SUPERVISOR  ELÉCTRICO</v>
          </cell>
        </row>
        <row r="36">
          <cell r="D36" t="str">
            <v>SUPERVISOR  ELECTROMECÁNICO</v>
          </cell>
        </row>
        <row r="37">
          <cell r="D37" t="str">
            <v>SUPERVISOR DE OBRA</v>
          </cell>
        </row>
        <row r="38">
          <cell r="D38" t="str">
            <v>SUPERVISOR HSE</v>
          </cell>
        </row>
        <row r="39">
          <cell r="D39" t="str">
            <v>TOPÓGRAFO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>
    <tabColor theme="1"/>
  </sheetPr>
  <dimension ref="A1:AD37"/>
  <sheetViews>
    <sheetView showGridLines="0" topLeftCell="A22" zoomScaleNormal="100" zoomScaleSheetLayoutView="100" workbookViewId="0">
      <selection activeCell="D29" sqref="D29"/>
    </sheetView>
  </sheetViews>
  <sheetFormatPr baseColWidth="10" defaultColWidth="0" defaultRowHeight="0" customHeight="1" zeroHeight="1" x14ac:dyDescent="0.25"/>
  <cols>
    <col min="1" max="1" width="3.88671875" style="2" customWidth="1"/>
    <col min="2" max="2" width="17.88671875" style="2" customWidth="1"/>
    <col min="3" max="3" width="22.6640625" style="1" customWidth="1"/>
    <col min="4" max="4" width="49.33203125" style="2" customWidth="1"/>
    <col min="5" max="5" width="48.109375" style="1" customWidth="1"/>
    <col min="6" max="6" width="18.33203125" style="1" customWidth="1"/>
    <col min="7" max="7" width="6.88671875" style="2" customWidth="1"/>
    <col min="8" max="8" width="11.44140625" style="2" hidden="1" customWidth="1"/>
    <col min="9" max="9" width="64.33203125" style="3" hidden="1" customWidth="1"/>
    <col min="10" max="22" width="11.44140625" style="2" hidden="1" customWidth="1"/>
    <col min="23" max="23" width="18.88671875" style="2" hidden="1" customWidth="1"/>
    <col min="24" max="24" width="10.6640625" style="2" hidden="1" customWidth="1"/>
    <col min="25" max="26" width="26" style="2" hidden="1" customWidth="1"/>
    <col min="27" max="27" width="18.88671875" style="2" hidden="1" customWidth="1"/>
    <col min="28" max="28" width="10.6640625" style="2" hidden="1" customWidth="1"/>
    <col min="29" max="30" width="26" style="2" hidden="1" customWidth="1"/>
    <col min="31" max="16384" width="11.44140625" style="2" hidden="1"/>
  </cols>
  <sheetData>
    <row r="1" spans="2:9" ht="13.2" x14ac:dyDescent="0.25">
      <c r="B1" s="1"/>
      <c r="D1" s="1"/>
    </row>
    <row r="2" spans="2:9" s="4" customFormat="1" ht="26.25" customHeight="1" x14ac:dyDescent="0.25">
      <c r="B2" s="60"/>
      <c r="C2" s="60"/>
      <c r="D2" s="61" t="s">
        <v>50</v>
      </c>
      <c r="E2" s="62"/>
      <c r="F2" s="63"/>
    </row>
    <row r="3" spans="2:9" s="4" customFormat="1" ht="26.25" customHeight="1" x14ac:dyDescent="0.25">
      <c r="B3" s="60"/>
      <c r="C3" s="60"/>
      <c r="D3" s="64"/>
      <c r="E3" s="65"/>
      <c r="F3" s="66"/>
    </row>
    <row r="4" spans="2:9" s="4" customFormat="1" ht="12.75" customHeight="1" x14ac:dyDescent="0.25">
      <c r="B4" s="60"/>
      <c r="C4" s="60"/>
      <c r="D4" s="64"/>
      <c r="E4" s="65"/>
      <c r="F4" s="66"/>
    </row>
    <row r="5" spans="2:9" s="4" customFormat="1" ht="9" customHeight="1" x14ac:dyDescent="0.25">
      <c r="B5" s="60"/>
      <c r="C5" s="60"/>
      <c r="D5" s="67"/>
      <c r="E5" s="68"/>
      <c r="F5" s="69"/>
    </row>
    <row r="6" spans="2:9" ht="12.75" customHeight="1" x14ac:dyDescent="0.25"/>
    <row r="7" spans="2:9" ht="14.25" customHeight="1" x14ac:dyDescent="0.25"/>
    <row r="8" spans="2:9" ht="23.25" customHeight="1" x14ac:dyDescent="0.25">
      <c r="B8" s="56" t="s">
        <v>13</v>
      </c>
      <c r="C8" s="56"/>
      <c r="D8" s="56"/>
      <c r="E8" s="56"/>
      <c r="F8" s="56"/>
    </row>
    <row r="9" spans="2:9" ht="23.25" customHeight="1" x14ac:dyDescent="0.25">
      <c r="B9" s="57" t="s">
        <v>41</v>
      </c>
      <c r="C9" s="58"/>
      <c r="D9" s="58"/>
      <c r="E9" s="58"/>
      <c r="F9" s="59"/>
      <c r="G9" s="5"/>
    </row>
    <row r="10" spans="2:9" ht="13.2" x14ac:dyDescent="0.25">
      <c r="B10" s="56" t="s">
        <v>6</v>
      </c>
      <c r="C10" s="56"/>
      <c r="D10" s="25" t="s">
        <v>42</v>
      </c>
      <c r="E10" s="26"/>
      <c r="F10" s="27"/>
    </row>
    <row r="11" spans="2:9" ht="13.2" x14ac:dyDescent="0.25">
      <c r="B11" s="70" t="s">
        <v>7</v>
      </c>
      <c r="C11" s="70" t="s">
        <v>0</v>
      </c>
      <c r="D11" s="70" t="s">
        <v>8</v>
      </c>
      <c r="E11" s="70" t="s">
        <v>44</v>
      </c>
      <c r="F11" s="56" t="s">
        <v>9</v>
      </c>
    </row>
    <row r="12" spans="2:9" ht="42" customHeight="1" x14ac:dyDescent="0.25">
      <c r="B12" s="70"/>
      <c r="C12" s="71"/>
      <c r="D12" s="70"/>
      <c r="E12" s="70"/>
      <c r="F12" s="56"/>
    </row>
    <row r="13" spans="2:9" ht="24" customHeight="1" x14ac:dyDescent="0.25">
      <c r="B13" s="8">
        <v>1</v>
      </c>
      <c r="C13" s="9">
        <v>42020</v>
      </c>
      <c r="D13" s="10" t="s">
        <v>64</v>
      </c>
      <c r="E13" s="8" t="s">
        <v>43</v>
      </c>
      <c r="F13" s="8" t="s">
        <v>38</v>
      </c>
      <c r="I13" s="3" t="str">
        <f>+D13</f>
        <v>Creación del documento</v>
      </c>
    </row>
    <row r="14" spans="2:9" ht="24" customHeight="1" x14ac:dyDescent="0.25">
      <c r="B14" s="6">
        <v>2</v>
      </c>
      <c r="C14" s="7">
        <v>42555</v>
      </c>
      <c r="D14" s="11" t="s">
        <v>65</v>
      </c>
      <c r="E14" s="8" t="s">
        <v>45</v>
      </c>
      <c r="F14" s="6" t="s">
        <v>12</v>
      </c>
      <c r="I14" s="3" t="str">
        <f t="shared" ref="I14:I36" si="0">+D14</f>
        <v xml:space="preserve"> Modificación de lista de verificación </v>
      </c>
    </row>
    <row r="15" spans="2:9" ht="24" customHeight="1" x14ac:dyDescent="0.25">
      <c r="B15" s="6">
        <v>3</v>
      </c>
      <c r="C15" s="7">
        <v>42723</v>
      </c>
      <c r="D15" s="11" t="s">
        <v>66</v>
      </c>
      <c r="E15" s="8" t="s">
        <v>45</v>
      </c>
      <c r="F15" s="6" t="s">
        <v>12</v>
      </c>
      <c r="I15" s="3" t="str">
        <f t="shared" si="0"/>
        <v>Se incluye la verificación de la luz estroboscópica o Baliza</v>
      </c>
    </row>
    <row r="16" spans="2:9" ht="24" customHeight="1" x14ac:dyDescent="0.25">
      <c r="B16" s="6">
        <v>4</v>
      </c>
      <c r="C16" s="7">
        <v>42762</v>
      </c>
      <c r="D16" s="11" t="s">
        <v>18</v>
      </c>
      <c r="E16" s="8" t="s">
        <v>45</v>
      </c>
      <c r="F16" s="6" t="s">
        <v>12</v>
      </c>
      <c r="I16" s="3" t="str">
        <f t="shared" si="0"/>
        <v>Se incluye columna PARE para indicar cuando el equipo no puede iniciar operaciones</v>
      </c>
    </row>
    <row r="17" spans="2:9" ht="24" customHeight="1" x14ac:dyDescent="0.25">
      <c r="B17" s="6">
        <v>5</v>
      </c>
      <c r="C17" s="7">
        <v>42889</v>
      </c>
      <c r="D17" s="11" t="s">
        <v>46</v>
      </c>
      <c r="E17" s="8" t="s">
        <v>45</v>
      </c>
      <c r="F17" s="6" t="s">
        <v>12</v>
      </c>
      <c r="I17" s="3" t="str">
        <f t="shared" si="0"/>
        <v>Se Modifica el orden de los elementos a verificar y se adicionan otros</v>
      </c>
    </row>
    <row r="18" spans="2:9" ht="24" customHeight="1" x14ac:dyDescent="0.25">
      <c r="B18" s="6">
        <v>6</v>
      </c>
      <c r="C18" s="7">
        <v>43564</v>
      </c>
      <c r="D18" s="12" t="s">
        <v>67</v>
      </c>
      <c r="E18" s="8" t="s">
        <v>45</v>
      </c>
      <c r="F18" s="6" t="s">
        <v>12</v>
      </c>
      <c r="I18" s="3" t="str">
        <f t="shared" si="0"/>
        <v>Se incluye los ítems de verificación de radiador y espejos</v>
      </c>
    </row>
    <row r="19" spans="2:9" ht="24" customHeight="1" x14ac:dyDescent="0.25">
      <c r="B19" s="6">
        <v>7</v>
      </c>
      <c r="C19" s="7">
        <v>43663</v>
      </c>
      <c r="D19" s="11" t="s">
        <v>68</v>
      </c>
      <c r="E19" s="8" t="s">
        <v>45</v>
      </c>
      <c r="F19" s="6" t="s">
        <v>12</v>
      </c>
      <c r="I19" s="3" t="str">
        <f t="shared" si="0"/>
        <v>Se adiciona el componente cámara de retroceso y se marca como punto critico, adicionalmente se marca como critico el cinturón de seguridad, espejos y Aire acondicionado</v>
      </c>
    </row>
    <row r="20" spans="2:9" ht="31.5" customHeight="1" x14ac:dyDescent="0.25">
      <c r="B20" s="6">
        <v>8</v>
      </c>
      <c r="C20" s="7">
        <v>43844</v>
      </c>
      <c r="D20" s="12" t="s">
        <v>37</v>
      </c>
      <c r="E20" s="8" t="s">
        <v>45</v>
      </c>
      <c r="F20" s="6" t="s">
        <v>38</v>
      </c>
      <c r="I20" s="3" t="str">
        <f t="shared" si="0"/>
        <v>Se cambia la codificación de este documento ya que este corresponde al proceso de Mantenimiento</v>
      </c>
    </row>
    <row r="21" spans="2:9" ht="24" customHeight="1" x14ac:dyDescent="0.25">
      <c r="B21" s="6">
        <v>9</v>
      </c>
      <c r="C21" s="7">
        <v>43844</v>
      </c>
      <c r="D21" s="12" t="s">
        <v>36</v>
      </c>
      <c r="E21" s="8" t="s">
        <v>43</v>
      </c>
      <c r="F21" s="6" t="s">
        <v>38</v>
      </c>
      <c r="I21" s="3" t="str">
        <f t="shared" si="0"/>
        <v>Se adiciona la casilla de Equipo propio y Contratista</v>
      </c>
    </row>
    <row r="22" spans="2:9" ht="50.25" customHeight="1" x14ac:dyDescent="0.25">
      <c r="B22" s="6">
        <v>10</v>
      </c>
      <c r="C22" s="7">
        <v>43964</v>
      </c>
      <c r="D22" s="12" t="s">
        <v>69</v>
      </c>
      <c r="E22" s="8" t="s">
        <v>43</v>
      </c>
      <c r="F22" s="6" t="s">
        <v>38</v>
      </c>
      <c r="I22" s="3" t="str">
        <f t="shared" si="0"/>
        <v xml:space="preserve">Se adiciona una casilla mas relacionada a la limpieza y desinfección como medida de prevención frente al contagio por SARS-CoV-2 </v>
      </c>
    </row>
    <row r="23" spans="2:9" ht="28.5" customHeight="1" x14ac:dyDescent="0.25">
      <c r="B23" s="6">
        <v>11</v>
      </c>
      <c r="C23" s="7">
        <v>44377</v>
      </c>
      <c r="D23" s="11" t="s">
        <v>39</v>
      </c>
      <c r="E23" s="8" t="s">
        <v>45</v>
      </c>
      <c r="F23" s="6" t="s">
        <v>38</v>
      </c>
      <c r="I23" s="3" t="str">
        <f t="shared" si="0"/>
        <v>Se modifica el logo de la empresa debido al cambio por razón social</v>
      </c>
    </row>
    <row r="24" spans="2:9" ht="94.5" customHeight="1" x14ac:dyDescent="0.25">
      <c r="B24" s="6">
        <v>12</v>
      </c>
      <c r="C24" s="7">
        <v>45148</v>
      </c>
      <c r="D24" s="12" t="s">
        <v>51</v>
      </c>
      <c r="E24" s="8" t="s">
        <v>45</v>
      </c>
      <c r="F24" s="6" t="s">
        <v>38</v>
      </c>
      <c r="I24" s="3" t="str">
        <f t="shared" si="0"/>
        <v>Se realiza cambio de logo, se modifica el tipo de letra, se cambia el color de las celdas, se cambia el nombre del documento antes FT-MANT-02 Formato inspección preoperacional, ahora FT-MANT-01  Inspección preoperacional de cargador</v>
      </c>
    </row>
    <row r="25" spans="2:9" ht="24" customHeight="1" x14ac:dyDescent="0.25">
      <c r="B25" s="6">
        <v>13</v>
      </c>
      <c r="C25" s="7">
        <v>45148</v>
      </c>
      <c r="D25" s="11" t="s">
        <v>63</v>
      </c>
      <c r="E25" s="8" t="s">
        <v>43</v>
      </c>
      <c r="F25" s="6" t="s">
        <v>38</v>
      </c>
      <c r="I25" s="3" t="str">
        <f t="shared" si="0"/>
        <v>Se realiza modificación en la estructura del control de cambio</v>
      </c>
    </row>
    <row r="26" spans="2:9" ht="24" customHeight="1" x14ac:dyDescent="0.25">
      <c r="B26" s="6">
        <v>14</v>
      </c>
      <c r="C26" s="7">
        <v>45218</v>
      </c>
      <c r="D26" s="11" t="s">
        <v>91</v>
      </c>
      <c r="E26" s="8" t="s">
        <v>43</v>
      </c>
      <c r="F26" s="6" t="s">
        <v>12</v>
      </c>
      <c r="I26" s="3" t="str">
        <f t="shared" si="0"/>
        <v>Se realiza actualizacion de items</v>
      </c>
    </row>
    <row r="27" spans="2:9" ht="24" customHeight="1" x14ac:dyDescent="0.25">
      <c r="B27" s="6"/>
      <c r="C27" s="7"/>
      <c r="D27" s="11"/>
      <c r="E27" s="8"/>
      <c r="F27" s="6"/>
      <c r="I27" s="3">
        <f t="shared" si="0"/>
        <v>0</v>
      </c>
    </row>
    <row r="28" spans="2:9" ht="24" customHeight="1" x14ac:dyDescent="0.25">
      <c r="B28" s="6"/>
      <c r="C28" s="7"/>
      <c r="D28" s="11"/>
      <c r="E28" s="8"/>
      <c r="F28" s="6"/>
      <c r="I28" s="3">
        <f t="shared" si="0"/>
        <v>0</v>
      </c>
    </row>
    <row r="29" spans="2:9" ht="24" customHeight="1" x14ac:dyDescent="0.25">
      <c r="B29" s="6"/>
      <c r="C29" s="7"/>
      <c r="D29" s="11"/>
      <c r="E29" s="8"/>
      <c r="F29" s="6"/>
      <c r="I29" s="3">
        <f t="shared" si="0"/>
        <v>0</v>
      </c>
    </row>
    <row r="30" spans="2:9" ht="24" customHeight="1" x14ac:dyDescent="0.25">
      <c r="B30" s="6"/>
      <c r="C30" s="7"/>
      <c r="D30" s="11"/>
      <c r="E30" s="8"/>
      <c r="F30" s="6"/>
      <c r="I30" s="3">
        <f t="shared" si="0"/>
        <v>0</v>
      </c>
    </row>
    <row r="31" spans="2:9" ht="24" customHeight="1" x14ac:dyDescent="0.25">
      <c r="B31" s="6"/>
      <c r="C31" s="7"/>
      <c r="D31" s="11"/>
      <c r="E31" s="8"/>
      <c r="F31" s="6"/>
      <c r="I31" s="3">
        <f t="shared" si="0"/>
        <v>0</v>
      </c>
    </row>
    <row r="32" spans="2:9" ht="24" customHeight="1" x14ac:dyDescent="0.25">
      <c r="B32" s="6"/>
      <c r="C32" s="7"/>
      <c r="D32" s="11"/>
      <c r="E32" s="8"/>
      <c r="F32" s="6"/>
      <c r="I32" s="3">
        <f t="shared" si="0"/>
        <v>0</v>
      </c>
    </row>
    <row r="33" spans="2:9" ht="24" customHeight="1" x14ac:dyDescent="0.25">
      <c r="B33" s="6"/>
      <c r="C33" s="7"/>
      <c r="D33" s="11"/>
      <c r="E33" s="8"/>
      <c r="F33" s="6"/>
      <c r="I33" s="3">
        <f t="shared" si="0"/>
        <v>0</v>
      </c>
    </row>
    <row r="34" spans="2:9" ht="24" customHeight="1" x14ac:dyDescent="0.25">
      <c r="B34" s="6"/>
      <c r="C34" s="7"/>
      <c r="D34" s="11"/>
      <c r="E34" s="8"/>
      <c r="F34" s="6"/>
      <c r="I34" s="3">
        <f t="shared" si="0"/>
        <v>0</v>
      </c>
    </row>
    <row r="35" spans="2:9" ht="24" customHeight="1" x14ac:dyDescent="0.25">
      <c r="B35" s="6"/>
      <c r="C35" s="7"/>
      <c r="D35" s="11"/>
      <c r="E35" s="8"/>
      <c r="F35" s="6"/>
      <c r="I35" s="3">
        <f t="shared" si="0"/>
        <v>0</v>
      </c>
    </row>
    <row r="36" spans="2:9" ht="24" customHeight="1" x14ac:dyDescent="0.25">
      <c r="B36" s="6"/>
      <c r="C36" s="7"/>
      <c r="D36" s="11"/>
      <c r="E36" s="8"/>
      <c r="F36" s="6"/>
      <c r="I36" s="3">
        <f t="shared" si="0"/>
        <v>0</v>
      </c>
    </row>
    <row r="37" spans="2:9" ht="12.75" customHeight="1" x14ac:dyDescent="0.25"/>
  </sheetData>
  <sheetProtection formatRows="0" sort="0"/>
  <mergeCells count="10">
    <mergeCell ref="F11:F12"/>
    <mergeCell ref="B9:F9"/>
    <mergeCell ref="B8:F8"/>
    <mergeCell ref="B10:C10"/>
    <mergeCell ref="B2:C5"/>
    <mergeCell ref="D2:F5"/>
    <mergeCell ref="B11:B12"/>
    <mergeCell ref="C11:C12"/>
    <mergeCell ref="D11:D12"/>
    <mergeCell ref="E11:E12"/>
  </mergeCells>
  <dataValidations count="2">
    <dataValidation type="date" allowBlank="1" showInputMessage="1" showErrorMessage="1" error="La fecha mínima debe ser hoy" sqref="C13:C36" xr:uid="{00000000-0002-0000-0000-000000000000}">
      <formula1>36891</formula1>
      <formula2>219512</formula2>
    </dataValidation>
    <dataValidation type="list" allowBlank="1" showInputMessage="1" showErrorMessage="1" sqref="E13:E36" xr:uid="{D8C7257B-1580-474F-8369-DCAF73620684}">
      <formula1>"Cambio por estructura del formato, Cambio por actualización del documento"</formula1>
    </dataValidation>
  </dataValidations>
  <pageMargins left="0.7" right="0.7" top="0.75" bottom="0.75" header="0.3" footer="0.3"/>
  <pageSetup scale="55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365E-8BB9-4F8F-9816-8FEC8BD5F2CF}">
  <sheetPr>
    <pageSetUpPr fitToPage="1"/>
  </sheetPr>
  <dimension ref="A1:Q46"/>
  <sheetViews>
    <sheetView showGridLines="0" tabSelected="1" zoomScaleNormal="100" zoomScaleSheetLayoutView="80" workbookViewId="0">
      <selection activeCell="O26" sqref="O26"/>
    </sheetView>
  </sheetViews>
  <sheetFormatPr baseColWidth="10" defaultColWidth="9.109375" defaultRowHeight="13.2" x14ac:dyDescent="0.25"/>
  <cols>
    <col min="1" max="1" width="5.88671875" style="13" customWidth="1"/>
    <col min="2" max="2" width="6.5546875" style="13" customWidth="1"/>
    <col min="3" max="3" width="28.6640625" style="13" customWidth="1"/>
    <col min="4" max="5" width="4.6640625" style="13" customWidth="1"/>
    <col min="6" max="6" width="7.6640625" style="13" customWidth="1"/>
    <col min="7" max="7" width="4.6640625" style="13" customWidth="1"/>
    <col min="8" max="8" width="7.5546875" style="13" customWidth="1"/>
    <col min="9" max="9" width="25.6640625" style="13" customWidth="1"/>
    <col min="10" max="11" width="4.6640625" style="13" customWidth="1"/>
    <col min="12" max="12" width="7.6640625" style="13" customWidth="1"/>
    <col min="13" max="13" width="36" style="13" customWidth="1"/>
    <col min="14" max="16" width="8" style="13" customWidth="1"/>
    <col min="17" max="16384" width="9.109375" style="13"/>
  </cols>
  <sheetData>
    <row r="1" spans="1:16" ht="21" customHeight="1" x14ac:dyDescent="0.25">
      <c r="A1" s="75"/>
      <c r="B1" s="76"/>
      <c r="C1" s="76"/>
      <c r="D1" s="79" t="str">
        <f>'Control de Cambios '!D2</f>
        <v>INSPECCION PREOPERACIONAL DE CARGADOR</v>
      </c>
      <c r="E1" s="79"/>
      <c r="F1" s="79"/>
      <c r="G1" s="79"/>
      <c r="H1" s="79"/>
      <c r="I1" s="79"/>
      <c r="J1" s="79"/>
      <c r="K1" s="79"/>
      <c r="L1" s="80"/>
      <c r="M1" s="45" t="s">
        <v>49</v>
      </c>
      <c r="N1" s="83" t="str">
        <f>'Control de Cambios '!D10</f>
        <v>FT-MANT-01</v>
      </c>
      <c r="O1" s="83"/>
      <c r="P1" s="84"/>
    </row>
    <row r="2" spans="1:16" ht="21" customHeight="1" x14ac:dyDescent="0.25">
      <c r="A2" s="77"/>
      <c r="B2" s="78"/>
      <c r="C2" s="78"/>
      <c r="D2" s="81"/>
      <c r="E2" s="81"/>
      <c r="F2" s="81"/>
      <c r="G2" s="81"/>
      <c r="H2" s="81"/>
      <c r="I2" s="81"/>
      <c r="J2" s="81"/>
      <c r="K2" s="81"/>
      <c r="L2" s="82"/>
      <c r="M2" s="31" t="s">
        <v>47</v>
      </c>
      <c r="N2" s="85">
        <f>MAX('Control de Cambios '!B13:B36)</f>
        <v>14</v>
      </c>
      <c r="O2" s="85"/>
      <c r="P2" s="86"/>
    </row>
    <row r="3" spans="1:16" ht="21" customHeight="1" x14ac:dyDescent="0.25">
      <c r="A3" s="77"/>
      <c r="B3" s="78"/>
      <c r="C3" s="78"/>
      <c r="D3" s="81"/>
      <c r="E3" s="81"/>
      <c r="F3" s="81"/>
      <c r="G3" s="81"/>
      <c r="H3" s="81"/>
      <c r="I3" s="81"/>
      <c r="J3" s="81"/>
      <c r="K3" s="81"/>
      <c r="L3" s="82"/>
      <c r="M3" s="32" t="s">
        <v>48</v>
      </c>
      <c r="N3" s="87">
        <f>MAX('Control de Cambios '!C13:C36)</f>
        <v>45218</v>
      </c>
      <c r="O3" s="87"/>
      <c r="P3" s="88"/>
    </row>
    <row r="4" spans="1:16" ht="6.75" customHeight="1" x14ac:dyDescent="0.25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46"/>
      <c r="O4" s="91"/>
      <c r="P4" s="92"/>
    </row>
    <row r="5" spans="1:16" ht="20.25" customHeight="1" x14ac:dyDescent="0.25">
      <c r="A5" s="14"/>
      <c r="B5" s="47"/>
      <c r="C5" s="42" t="s">
        <v>57</v>
      </c>
      <c r="D5" s="93" t="s">
        <v>10</v>
      </c>
      <c r="E5" s="94"/>
      <c r="F5" s="94"/>
      <c r="G5" s="94"/>
      <c r="H5" s="95"/>
      <c r="I5" s="96" t="s">
        <v>60</v>
      </c>
      <c r="J5" s="97"/>
      <c r="K5" s="97"/>
      <c r="L5" s="97"/>
      <c r="M5" s="39" t="s">
        <v>10</v>
      </c>
      <c r="N5" s="48"/>
      <c r="O5" s="91"/>
      <c r="P5" s="92"/>
    </row>
    <row r="6" spans="1:16" ht="20.25" customHeight="1" x14ac:dyDescent="0.25">
      <c r="A6" s="14"/>
      <c r="B6" s="15"/>
      <c r="C6" s="43" t="s">
        <v>58</v>
      </c>
      <c r="D6" s="98"/>
      <c r="E6" s="99"/>
      <c r="F6" s="99"/>
      <c r="G6" s="99"/>
      <c r="H6" s="100"/>
      <c r="I6" s="104" t="s">
        <v>61</v>
      </c>
      <c r="J6" s="105"/>
      <c r="K6" s="105"/>
      <c r="L6" s="105"/>
      <c r="M6" s="40"/>
      <c r="N6" s="15"/>
      <c r="O6" s="91"/>
      <c r="P6" s="92"/>
    </row>
    <row r="7" spans="1:16" ht="20.25" customHeight="1" x14ac:dyDescent="0.25">
      <c r="A7" s="14"/>
      <c r="B7" s="15"/>
      <c r="C7" s="43" t="s">
        <v>59</v>
      </c>
      <c r="D7" s="98"/>
      <c r="E7" s="99"/>
      <c r="F7" s="99"/>
      <c r="G7" s="99"/>
      <c r="H7" s="100"/>
      <c r="I7" s="106" t="s">
        <v>62</v>
      </c>
      <c r="J7" s="107"/>
      <c r="K7" s="107"/>
      <c r="L7" s="107"/>
      <c r="M7" s="40"/>
      <c r="N7" s="15"/>
      <c r="O7" s="91"/>
      <c r="P7" s="92"/>
    </row>
    <row r="8" spans="1:16" ht="20.25" customHeight="1" x14ac:dyDescent="0.25">
      <c r="A8" s="14"/>
      <c r="B8" s="15"/>
      <c r="C8" s="44" t="s">
        <v>92</v>
      </c>
      <c r="D8" s="101"/>
      <c r="E8" s="102"/>
      <c r="F8" s="102"/>
      <c r="G8" s="102"/>
      <c r="H8" s="103"/>
      <c r="I8" s="108" t="s">
        <v>93</v>
      </c>
      <c r="J8" s="109"/>
      <c r="K8" s="109"/>
      <c r="L8" s="109"/>
      <c r="M8" s="41"/>
      <c r="N8" s="15"/>
      <c r="O8" s="91"/>
      <c r="P8" s="92"/>
    </row>
    <row r="9" spans="1:16" x14ac:dyDescent="0.25">
      <c r="A9" s="14"/>
      <c r="B9" s="49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91"/>
      <c r="P9" s="92"/>
    </row>
    <row r="10" spans="1:16" ht="15.75" customHeight="1" x14ac:dyDescent="0.25">
      <c r="A10" s="72" t="s">
        <v>31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</row>
    <row r="11" spans="1:16" x14ac:dyDescent="0.25">
      <c r="A11" s="116" t="s">
        <v>1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8"/>
    </row>
    <row r="12" spans="1:16" s="38" customFormat="1" ht="20.25" customHeight="1" x14ac:dyDescent="0.25">
      <c r="A12" s="119" t="s">
        <v>2</v>
      </c>
      <c r="B12" s="120"/>
      <c r="C12" s="121"/>
      <c r="D12" s="33" t="s">
        <v>3</v>
      </c>
      <c r="E12" s="33" t="s">
        <v>4</v>
      </c>
      <c r="F12" s="33" t="s">
        <v>14</v>
      </c>
      <c r="G12" s="122" t="s">
        <v>2</v>
      </c>
      <c r="H12" s="123"/>
      <c r="I12" s="124"/>
      <c r="J12" s="36" t="s">
        <v>3</v>
      </c>
      <c r="K12" s="33" t="s">
        <v>4</v>
      </c>
      <c r="L12" s="33" t="s">
        <v>15</v>
      </c>
      <c r="M12" s="36" t="s">
        <v>2</v>
      </c>
      <c r="N12" s="37" t="s">
        <v>3</v>
      </c>
      <c r="O12" s="35" t="s">
        <v>4</v>
      </c>
      <c r="P12" s="34" t="s">
        <v>15</v>
      </c>
    </row>
    <row r="13" spans="1:16" ht="15" customHeight="1" x14ac:dyDescent="0.25">
      <c r="A13" s="125" t="s">
        <v>19</v>
      </c>
      <c r="B13" s="126"/>
      <c r="C13" s="126"/>
      <c r="D13" s="18"/>
      <c r="E13" s="18"/>
      <c r="F13" s="16"/>
      <c r="G13" s="127" t="s">
        <v>73</v>
      </c>
      <c r="H13" s="127"/>
      <c r="I13" s="127"/>
      <c r="J13" s="20"/>
      <c r="K13" s="18"/>
      <c r="L13" s="18"/>
      <c r="M13" s="52" t="s">
        <v>83</v>
      </c>
      <c r="N13" s="21"/>
      <c r="O13" s="21"/>
      <c r="P13" s="17"/>
    </row>
    <row r="14" spans="1:16" ht="15" customHeight="1" x14ac:dyDescent="0.25">
      <c r="A14" s="28" t="s">
        <v>70</v>
      </c>
      <c r="B14" s="50"/>
      <c r="C14" s="51"/>
      <c r="D14" s="18"/>
      <c r="E14" s="18"/>
      <c r="F14" s="22" t="s">
        <v>16</v>
      </c>
      <c r="G14" s="113" t="s">
        <v>89</v>
      </c>
      <c r="H14" s="114"/>
      <c r="I14" s="115"/>
      <c r="J14" s="20"/>
      <c r="K14" s="18"/>
      <c r="L14" s="18"/>
      <c r="M14" s="21" t="s">
        <v>76</v>
      </c>
      <c r="N14" s="21"/>
      <c r="O14" s="21"/>
      <c r="P14" s="22" t="s">
        <v>16</v>
      </c>
    </row>
    <row r="15" spans="1:16" ht="15" customHeight="1" x14ac:dyDescent="0.25">
      <c r="A15" s="110" t="s">
        <v>54</v>
      </c>
      <c r="B15" s="111"/>
      <c r="C15" s="112"/>
      <c r="D15" s="18"/>
      <c r="E15" s="18"/>
      <c r="F15" s="22" t="s">
        <v>16</v>
      </c>
      <c r="G15" s="113" t="s">
        <v>88</v>
      </c>
      <c r="H15" s="114"/>
      <c r="I15" s="115"/>
      <c r="J15" s="20"/>
      <c r="K15" s="18"/>
      <c r="L15" s="22" t="s">
        <v>16</v>
      </c>
      <c r="M15" s="28" t="s">
        <v>75</v>
      </c>
      <c r="N15" s="18"/>
      <c r="O15" s="18"/>
      <c r="P15" s="53"/>
    </row>
    <row r="16" spans="1:16" ht="15" customHeight="1" x14ac:dyDescent="0.25">
      <c r="A16" s="110" t="s">
        <v>52</v>
      </c>
      <c r="B16" s="111"/>
      <c r="C16" s="112"/>
      <c r="D16" s="18"/>
      <c r="E16" s="18"/>
      <c r="F16" s="22" t="s">
        <v>16</v>
      </c>
      <c r="G16" s="113" t="s">
        <v>87</v>
      </c>
      <c r="H16" s="114"/>
      <c r="I16" s="115"/>
      <c r="J16" s="20"/>
      <c r="K16" s="18"/>
      <c r="L16" s="18"/>
      <c r="M16" s="28" t="s">
        <v>25</v>
      </c>
      <c r="N16" s="18"/>
      <c r="O16" s="18"/>
      <c r="P16" s="22" t="s">
        <v>16</v>
      </c>
    </row>
    <row r="17" spans="1:17" ht="15" customHeight="1" x14ac:dyDescent="0.25">
      <c r="A17" s="110" t="s">
        <v>20</v>
      </c>
      <c r="B17" s="111"/>
      <c r="C17" s="112"/>
      <c r="D17" s="18"/>
      <c r="E17" s="18"/>
      <c r="F17" s="22" t="s">
        <v>16</v>
      </c>
      <c r="G17" s="113" t="s">
        <v>84</v>
      </c>
      <c r="H17" s="114"/>
      <c r="I17" s="115"/>
      <c r="J17" s="20"/>
      <c r="K17" s="18"/>
      <c r="L17" s="55"/>
      <c r="M17" s="28" t="s">
        <v>26</v>
      </c>
      <c r="N17" s="18"/>
      <c r="O17" s="18"/>
      <c r="P17" s="53"/>
      <c r="Q17" s="13" t="s">
        <v>10</v>
      </c>
    </row>
    <row r="18" spans="1:17" ht="15" customHeight="1" x14ac:dyDescent="0.25">
      <c r="A18" s="110" t="s">
        <v>55</v>
      </c>
      <c r="B18" s="111"/>
      <c r="C18" s="112"/>
      <c r="D18" s="18"/>
      <c r="E18" s="18"/>
      <c r="F18" s="23"/>
      <c r="G18" s="113" t="s">
        <v>85</v>
      </c>
      <c r="H18" s="114"/>
      <c r="I18" s="115"/>
      <c r="J18" s="20"/>
      <c r="K18" s="18"/>
      <c r="L18" s="18"/>
      <c r="M18" s="28" t="s">
        <v>23</v>
      </c>
      <c r="N18" s="18"/>
      <c r="O18" s="18"/>
      <c r="P18" s="22" t="s">
        <v>16</v>
      </c>
    </row>
    <row r="19" spans="1:17" ht="15" customHeight="1" x14ac:dyDescent="0.25">
      <c r="A19" s="110" t="s">
        <v>71</v>
      </c>
      <c r="B19" s="111"/>
      <c r="C19" s="112"/>
      <c r="D19" s="18"/>
      <c r="E19" s="18"/>
      <c r="F19" s="23"/>
      <c r="G19" s="113" t="s">
        <v>86</v>
      </c>
      <c r="H19" s="114"/>
      <c r="I19" s="115"/>
      <c r="J19" s="20"/>
      <c r="K19" s="18"/>
      <c r="L19" s="22" t="s">
        <v>16</v>
      </c>
      <c r="M19" s="28" t="s">
        <v>24</v>
      </c>
      <c r="N19" s="18"/>
      <c r="O19" s="18"/>
      <c r="P19" s="22" t="s">
        <v>16</v>
      </c>
    </row>
    <row r="20" spans="1:17" ht="15" customHeight="1" x14ac:dyDescent="0.25">
      <c r="A20" s="110" t="s">
        <v>21</v>
      </c>
      <c r="B20" s="111"/>
      <c r="C20" s="112"/>
      <c r="D20" s="18"/>
      <c r="E20" s="18"/>
      <c r="F20" s="24"/>
      <c r="G20" s="113" t="s">
        <v>82</v>
      </c>
      <c r="H20" s="114"/>
      <c r="I20" s="115"/>
      <c r="J20" s="20"/>
      <c r="K20" s="18"/>
      <c r="L20" s="22" t="s">
        <v>16</v>
      </c>
      <c r="M20" s="29" t="s">
        <v>53</v>
      </c>
      <c r="N20" s="18"/>
      <c r="O20" s="18"/>
      <c r="P20" s="17"/>
    </row>
    <row r="21" spans="1:17" s="15" customFormat="1" ht="15" customHeight="1" x14ac:dyDescent="0.25">
      <c r="A21" s="110" t="s">
        <v>22</v>
      </c>
      <c r="B21" s="111"/>
      <c r="C21" s="112"/>
      <c r="D21" s="18"/>
      <c r="E21" s="18"/>
      <c r="F21" s="24"/>
      <c r="G21" s="113" t="s">
        <v>90</v>
      </c>
      <c r="H21" s="114"/>
      <c r="I21" s="115"/>
      <c r="J21" s="20"/>
      <c r="K21" s="18"/>
      <c r="L21" s="18"/>
      <c r="M21" s="29" t="s">
        <v>27</v>
      </c>
      <c r="N21" s="18"/>
      <c r="O21" s="18"/>
      <c r="P21" s="54"/>
    </row>
    <row r="22" spans="1:17" ht="15" customHeight="1" x14ac:dyDescent="0.25">
      <c r="A22" s="110" t="s">
        <v>30</v>
      </c>
      <c r="B22" s="111"/>
      <c r="C22" s="112"/>
      <c r="D22" s="18"/>
      <c r="E22" s="18"/>
      <c r="F22" s="24"/>
      <c r="G22" s="113" t="s">
        <v>81</v>
      </c>
      <c r="H22" s="114"/>
      <c r="I22" s="115"/>
      <c r="J22" s="20"/>
      <c r="K22" s="18"/>
      <c r="L22" s="18"/>
      <c r="M22" s="29" t="s">
        <v>32</v>
      </c>
      <c r="N22" s="18"/>
      <c r="O22" s="18"/>
      <c r="P22" s="54"/>
    </row>
    <row r="23" spans="1:17" ht="15" customHeight="1" x14ac:dyDescent="0.25">
      <c r="A23" s="110" t="s">
        <v>11</v>
      </c>
      <c r="B23" s="111"/>
      <c r="C23" s="112"/>
      <c r="D23" s="18"/>
      <c r="E23" s="18"/>
      <c r="F23" s="24"/>
      <c r="G23" s="113" t="s">
        <v>80</v>
      </c>
      <c r="H23" s="114"/>
      <c r="I23" s="115"/>
      <c r="J23" s="20"/>
      <c r="K23" s="18"/>
      <c r="L23" s="18"/>
      <c r="M23" s="29" t="s">
        <v>28</v>
      </c>
      <c r="N23" s="18"/>
      <c r="O23" s="18"/>
      <c r="P23" s="17"/>
    </row>
    <row r="24" spans="1:17" ht="15" customHeight="1" x14ac:dyDescent="0.25">
      <c r="A24" s="110" t="s">
        <v>35</v>
      </c>
      <c r="B24" s="111"/>
      <c r="C24" s="112"/>
      <c r="D24" s="18"/>
      <c r="E24" s="18"/>
      <c r="F24" s="22" t="s">
        <v>16</v>
      </c>
      <c r="G24" s="113" t="s">
        <v>79</v>
      </c>
      <c r="H24" s="114"/>
      <c r="I24" s="115"/>
      <c r="J24" s="20"/>
      <c r="K24" s="18"/>
      <c r="L24" s="18"/>
      <c r="M24" s="30" t="s">
        <v>29</v>
      </c>
      <c r="N24" s="18"/>
      <c r="O24" s="18"/>
      <c r="P24" s="17"/>
    </row>
    <row r="25" spans="1:17" ht="15" customHeight="1" x14ac:dyDescent="0.25">
      <c r="A25" s="110" t="s">
        <v>72</v>
      </c>
      <c r="B25" s="111"/>
      <c r="C25" s="112"/>
      <c r="D25" s="18"/>
      <c r="E25" s="18"/>
      <c r="F25" s="23"/>
      <c r="G25" s="113" t="s">
        <v>77</v>
      </c>
      <c r="H25" s="114"/>
      <c r="I25" s="115"/>
      <c r="J25" s="20"/>
      <c r="K25" s="18"/>
      <c r="L25" s="18"/>
      <c r="M25" s="29" t="s">
        <v>94</v>
      </c>
      <c r="N25" s="18"/>
      <c r="O25" s="18"/>
      <c r="P25" s="22" t="s">
        <v>16</v>
      </c>
    </row>
    <row r="26" spans="1:17" ht="15" customHeight="1" x14ac:dyDescent="0.25">
      <c r="A26" s="110" t="s">
        <v>34</v>
      </c>
      <c r="B26" s="111"/>
      <c r="C26" s="112"/>
      <c r="D26" s="18"/>
      <c r="E26" s="18"/>
      <c r="F26" s="23"/>
      <c r="G26" s="113" t="s">
        <v>78</v>
      </c>
      <c r="H26" s="114"/>
      <c r="I26" s="115"/>
      <c r="J26" s="20"/>
      <c r="K26" s="18"/>
      <c r="L26" s="55"/>
      <c r="M26" s="13" t="s">
        <v>74</v>
      </c>
      <c r="N26" s="18"/>
      <c r="O26" s="18"/>
      <c r="P26" s="53"/>
    </row>
    <row r="27" spans="1:17" ht="15" customHeight="1" thickBot="1" x14ac:dyDescent="0.3">
      <c r="A27" s="134" t="s">
        <v>10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6"/>
    </row>
    <row r="28" spans="1:17" ht="14.25" customHeight="1" thickBot="1" x14ac:dyDescent="0.3">
      <c r="A28" s="137" t="s">
        <v>56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9"/>
    </row>
    <row r="29" spans="1:17" ht="12.75" customHeight="1" x14ac:dyDescent="0.25">
      <c r="A29" s="128" t="s">
        <v>5</v>
      </c>
      <c r="B29" s="129"/>
      <c r="C29" s="129"/>
      <c r="D29" s="129"/>
      <c r="E29" s="129"/>
      <c r="F29" s="129"/>
      <c r="G29" s="129"/>
      <c r="H29" s="129"/>
      <c r="I29" s="130" t="s">
        <v>33</v>
      </c>
      <c r="J29" s="130"/>
      <c r="K29" s="130"/>
      <c r="L29" s="130"/>
      <c r="M29" s="130"/>
      <c r="N29" s="130"/>
      <c r="O29" s="130"/>
      <c r="P29" s="131"/>
    </row>
    <row r="30" spans="1:17" ht="36" customHeight="1" x14ac:dyDescent="0.25">
      <c r="A30" s="128"/>
      <c r="B30" s="129"/>
      <c r="C30" s="129"/>
      <c r="D30" s="129"/>
      <c r="E30" s="129"/>
      <c r="F30" s="129"/>
      <c r="G30" s="129"/>
      <c r="H30" s="129"/>
      <c r="I30" s="132"/>
      <c r="J30" s="132"/>
      <c r="K30" s="132"/>
      <c r="L30" s="132"/>
      <c r="M30" s="132"/>
      <c r="N30" s="132"/>
      <c r="O30" s="132"/>
      <c r="P30" s="133"/>
    </row>
    <row r="31" spans="1:17" s="15" customFormat="1" ht="24.75" customHeight="1" x14ac:dyDescent="0.25">
      <c r="A31" s="140" t="s">
        <v>40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2"/>
    </row>
    <row r="32" spans="1:17" ht="18.75" customHeight="1" x14ac:dyDescent="0.25">
      <c r="A32" s="143" t="s">
        <v>17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1"/>
    </row>
    <row r="33" spans="1:16" ht="19.5" customHeight="1" x14ac:dyDescent="0.25">
      <c r="A33" s="143" t="s">
        <v>17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1"/>
    </row>
    <row r="34" spans="1:16" ht="13.8" thickBo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6"/>
    </row>
    <row r="35" spans="1:1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6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6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6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6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6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6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</sheetData>
  <mergeCells count="54">
    <mergeCell ref="A31:P31"/>
    <mergeCell ref="A32:P32"/>
    <mergeCell ref="A33:P33"/>
    <mergeCell ref="A34:P34"/>
    <mergeCell ref="A29:H30"/>
    <mergeCell ref="I29:P30"/>
    <mergeCell ref="A21:C21"/>
    <mergeCell ref="G21:I21"/>
    <mergeCell ref="A22:C22"/>
    <mergeCell ref="G22:I22"/>
    <mergeCell ref="A23:C23"/>
    <mergeCell ref="G23:I23"/>
    <mergeCell ref="A27:P27"/>
    <mergeCell ref="A25:C25"/>
    <mergeCell ref="A26:C26"/>
    <mergeCell ref="A24:C24"/>
    <mergeCell ref="G24:I24"/>
    <mergeCell ref="G25:I25"/>
    <mergeCell ref="G26:I26"/>
    <mergeCell ref="A28:P28"/>
    <mergeCell ref="A20:C20"/>
    <mergeCell ref="G20:I20"/>
    <mergeCell ref="A11:P11"/>
    <mergeCell ref="A12:C12"/>
    <mergeCell ref="G12:I12"/>
    <mergeCell ref="A13:C13"/>
    <mergeCell ref="G13:I13"/>
    <mergeCell ref="A15:C15"/>
    <mergeCell ref="G15:I15"/>
    <mergeCell ref="G14:I14"/>
    <mergeCell ref="G16:I16"/>
    <mergeCell ref="G17:I17"/>
    <mergeCell ref="G18:I18"/>
    <mergeCell ref="A16:C16"/>
    <mergeCell ref="A19:C19"/>
    <mergeCell ref="A17:C17"/>
    <mergeCell ref="A18:C18"/>
    <mergeCell ref="G19:I19"/>
    <mergeCell ref="A10:P10"/>
    <mergeCell ref="A1:C3"/>
    <mergeCell ref="D1:L3"/>
    <mergeCell ref="N1:P1"/>
    <mergeCell ref="N2:P2"/>
    <mergeCell ref="N3:P3"/>
    <mergeCell ref="A4:M4"/>
    <mergeCell ref="O4:P9"/>
    <mergeCell ref="D5:H5"/>
    <mergeCell ref="I5:L5"/>
    <mergeCell ref="D6:H6"/>
    <mergeCell ref="D8:H8"/>
    <mergeCell ref="I6:L6"/>
    <mergeCell ref="D7:H7"/>
    <mergeCell ref="I7:L7"/>
    <mergeCell ref="I8:L8"/>
  </mergeCells>
  <dataValidations count="5">
    <dataValidation type="list" allowBlank="1" showInputMessage="1" showErrorMessage="1" sqref="D8:H8" xr:uid="{C5A72577-1D54-41DF-A6CC-E9EFD1F42409}">
      <formula1>"Equipos Unidos RYR, Proveedor Externo"</formula1>
    </dataValidation>
    <dataValidation type="list" allowBlank="1" showInputMessage="1" showErrorMessage="1" sqref="D5:H5" xr:uid="{EB2BEEAF-A8B3-46DE-9F26-1CAEC153C6F7}">
      <formula1>"Cargador,"</formula1>
    </dataValidation>
    <dataValidation type="list" allowBlank="1" showInputMessage="1" showErrorMessage="1" sqref="D6:H6" xr:uid="{511A76A7-CFB8-42E1-B257-7EE397322972}">
      <formula1>"Caterpilllar 966H1, Caterpillar 966H2, Doosan DL320A"</formula1>
    </dataValidation>
    <dataValidation type="list" allowBlank="1" showInputMessage="1" showErrorMessage="1" sqref="M6" xr:uid="{23E25048-37B9-4865-8088-85324F77FE50}">
      <formula1>"Planta Clemencia, Planta Caracolito, Otro Sitio"</formula1>
    </dataValidation>
    <dataValidation type="list" allowBlank="1" showInputMessage="1" showErrorMessage="1" sqref="M8" xr:uid="{471A78EA-459A-4EF2-A6DF-FA23538B2392}">
      <formula1>"Cemex, Cetesa, Argos, Otro"</formula1>
    </dataValidation>
  </dataValidations>
  <printOptions horizontalCentered="1" verticalCentered="1"/>
  <pageMargins left="0.23622047244094491" right="0.23622047244094491" top="0.15748031496062992" bottom="0.35433070866141736" header="0.31496062992125984" footer="0.31496062992125984"/>
  <pageSetup paperSize="9"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Control de Cambios </vt:lpstr>
      <vt:lpstr>FT-MANT-01</vt:lpstr>
      <vt:lpstr>'Control de Cambios '!Área_de_impresión</vt:lpstr>
      <vt:lpstr>'FT-MANT-01'!Área_de_impresión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EQUIPOS UNIDOS RYR LTDA</cp:lastModifiedBy>
  <cp:lastPrinted>2022-11-15T13:26:35Z</cp:lastPrinted>
  <dcterms:created xsi:type="dcterms:W3CDTF">2015-09-15T20:27:51Z</dcterms:created>
  <dcterms:modified xsi:type="dcterms:W3CDTF">2023-10-19T17:32:40Z</dcterms:modified>
</cp:coreProperties>
</file>