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lksi\Android\williApp\templates\"/>
    </mc:Choice>
  </mc:AlternateContent>
  <xr:revisionPtr revIDLastSave="0" documentId="13_ncr:1_{3FA71ED7-433C-4BE3-BCFD-C2FD5924E4A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ntrol de Cambios " sheetId="3" r:id="rId1"/>
    <sheet name="FT-MANT-19" sheetId="4" r:id="rId2"/>
    <sheet name="Hoja1" sheetId="5" r:id="rId3"/>
  </sheets>
  <externalReferences>
    <externalReference r:id="rId4"/>
    <externalReference r:id="rId5"/>
  </externalReferences>
  <definedNames>
    <definedName name="AÑO">#REF!</definedName>
    <definedName name="Cargos">[1]Datos!$D$2:$D$39</definedName>
    <definedName name="CERT">#REF!</definedName>
    <definedName name="CREDITO">#REF!</definedName>
    <definedName name="DEPENDIENTE">#REF!</definedName>
    <definedName name="DEPENDIENTE2" localSheetId="0">[2]Hoja1!$C$1:$C$65536</definedName>
    <definedName name="DEPENDIENTE2">[2]Hoja1!$C$1:$C$65536</definedName>
    <definedName name="DÍA">#REF!</definedName>
    <definedName name="EXPERIENCIA">#REF!</definedName>
    <definedName name="GARANTIA">#REF!</definedName>
    <definedName name="INDEPENDIENTE">#REF!</definedName>
    <definedName name="INDEPENDIENTE2" localSheetId="0">[2]Hoja1!$B$1:$B$65536</definedName>
    <definedName name="INDEPENDIENTE2">[2]Hoja1!$B$1:$B$65536</definedName>
    <definedName name="INFO">#REF!</definedName>
    <definedName name="INICIO">#REF!</definedName>
    <definedName name="INICIO2">[2]Hoja1!$B$1</definedName>
    <definedName name="LISTA">#REF!</definedName>
    <definedName name="LISTA2">[2]Hoja1!$A$2:$A$10</definedName>
    <definedName name="MENSAJEERROR">#REF!</definedName>
    <definedName name="MENSAJEERROR2">[2]Hoja1!$D$1</definedName>
    <definedName name="MES">#REF!</definedName>
    <definedName name="PLAZO">#REF!</definedName>
    <definedName name="_xlnm.Print_Area" localSheetId="0">'Control de Cambios '!$A$1:$G$36</definedName>
    <definedName name="_xlnm.Print_Area" localSheetId="1">'FT-MANT-19'!$A$1:$P$36</definedName>
    <definedName name="TIPODE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" i="4" l="1"/>
  <c r="D1" i="4"/>
  <c r="N3" i="4"/>
  <c r="N2" i="4"/>
  <c r="I36" i="3" l="1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</calcChain>
</file>

<file path=xl/sharedStrings.xml><?xml version="1.0" encoding="utf-8"?>
<sst xmlns="http://schemas.openxmlformats.org/spreadsheetml/2006/main" count="129" uniqueCount="83">
  <si>
    <t>Fecha</t>
  </si>
  <si>
    <t>Señale su respuesta con una ´´X´´</t>
  </si>
  <si>
    <t>VERIFICACIONES</t>
  </si>
  <si>
    <t>B</t>
  </si>
  <si>
    <t>M</t>
  </si>
  <si>
    <t>Código del documento:</t>
  </si>
  <si>
    <t>Versión No.</t>
  </si>
  <si>
    <t>Descripción de la modificación</t>
  </si>
  <si>
    <t>Responsable</t>
  </si>
  <si>
    <t xml:space="preserve"> </t>
  </si>
  <si>
    <t xml:space="preserve">CONTROL DE CAMBIOS   </t>
  </si>
  <si>
    <t>PARE</t>
  </si>
  <si>
    <t xml:space="preserve">PARE </t>
  </si>
  <si>
    <t>Bloqueo y Etiquetado</t>
  </si>
  <si>
    <t>Coordinador HSEQ</t>
  </si>
  <si>
    <t>Control de Cambios de estructura y actualización de formato</t>
  </si>
  <si>
    <t>Cambio por estructura del formato</t>
  </si>
  <si>
    <t>El cambio corresponde a:
 Cambio por estructura del formato o
 Cambio por actualización del documento</t>
  </si>
  <si>
    <t>Versión:</t>
  </si>
  <si>
    <t>Fecha:</t>
  </si>
  <si>
    <t>Código:</t>
  </si>
  <si>
    <t>HOROMETRO:</t>
  </si>
  <si>
    <t>LUGAR:</t>
  </si>
  <si>
    <t>Creación del documento</t>
  </si>
  <si>
    <t>CLIENTE:</t>
  </si>
  <si>
    <t>FECHA Y HORA:</t>
  </si>
  <si>
    <t>PROPIETARIO:</t>
  </si>
  <si>
    <t>Nivel aceite de motor</t>
  </si>
  <si>
    <t>INSPECCION PREOPERACIONAL DE VOLQUETA</t>
  </si>
  <si>
    <t>FT-MANT-19</t>
  </si>
  <si>
    <t>Estado de llantas (de repuesto) rines , pernos</t>
  </si>
  <si>
    <t xml:space="preserve">Estado de silla de conductor </t>
  </si>
  <si>
    <t>Retirar tacos</t>
  </si>
  <si>
    <t>LINEA</t>
  </si>
  <si>
    <t xml:space="preserve">Tanque de combustible (abrazadera soportes) </t>
  </si>
  <si>
    <t>Cerrar Capo</t>
  </si>
  <si>
    <t xml:space="preserve">Estado de indicadores de tablero </t>
  </si>
  <si>
    <t xml:space="preserve">Estado de espejos Ganso y tipo 5 </t>
  </si>
  <si>
    <t>Estado de vidrios y espejos laterales</t>
  </si>
  <si>
    <t xml:space="preserve">Estado funcionamiento del pito </t>
  </si>
  <si>
    <t>Estado funcionamiento Alarma de Reverso</t>
  </si>
  <si>
    <t>Estado Funcionamiento de Plumillas</t>
  </si>
  <si>
    <t xml:space="preserve">Funcionamiento de Pedales y caja de cambio </t>
  </si>
  <si>
    <t xml:space="preserve">Funcionamiento de Aire acondicionado </t>
  </si>
  <si>
    <t>Levantamiento de volco</t>
  </si>
  <si>
    <t>Apagar el vehiculo y aplicar freno de parqueo</t>
  </si>
  <si>
    <t>Realizar prueba de frenos de servicio</t>
  </si>
  <si>
    <t>Revisar funcionamiento freno de Parqueo</t>
  </si>
  <si>
    <t>Estado de luces de trabajo y Baliza</t>
  </si>
  <si>
    <t xml:space="preserve">Estado luces de Stop, luces de reverso </t>
  </si>
  <si>
    <t>Estado funcionamiento de Direccionales</t>
  </si>
  <si>
    <t>Descenso de volco</t>
  </si>
  <si>
    <t>X</t>
  </si>
  <si>
    <t>Gerente</t>
  </si>
  <si>
    <t>Drenaje de tanques</t>
  </si>
  <si>
    <t>PLACA DEL VEHICULO:</t>
  </si>
  <si>
    <t>Nota: B: Bueno, M: Malo, En caso de que algunos ITEM´S se marque en la columna M y este marcado de igual forma en la columna PARE, el vehiculo no podrá iniciar operaciones.</t>
  </si>
  <si>
    <t>VEHICULO:</t>
  </si>
  <si>
    <t>LISTA DE CHEQUEO DE INSPECCION DE VEHICULO</t>
  </si>
  <si>
    <t xml:space="preserve">Revisión fugas de aceite </t>
  </si>
  <si>
    <t>Estado del monitor y cámara de retroceso</t>
  </si>
  <si>
    <t>Revisión fugas de ACPM</t>
  </si>
  <si>
    <t>Nivel de Aceite de la Dirección</t>
  </si>
  <si>
    <t>Tensión de correas</t>
  </si>
  <si>
    <t>Inspección visual de humedad gato Hidráulico</t>
  </si>
  <si>
    <t>Revisión de Hojas de muelles delanteros y traseros</t>
  </si>
  <si>
    <t>Niveles de aceite hidráulico</t>
  </si>
  <si>
    <t>Revisión nivel de refrigerante</t>
  </si>
  <si>
    <t>Revisión de chasis</t>
  </si>
  <si>
    <t>Revisión de ganchos y compuerta</t>
  </si>
  <si>
    <t>Revisión de estribos y pasamanos</t>
  </si>
  <si>
    <t>Estado del cinturón de seguridad</t>
  </si>
  <si>
    <t>Desbloqueo del vehículo</t>
  </si>
  <si>
    <t>Encendido del vehículo</t>
  </si>
  <si>
    <t>Encender vehículo</t>
  </si>
  <si>
    <t xml:space="preserve">Adicion de items y eliminación de otros </t>
  </si>
  <si>
    <t>Cambio por actualización del documento</t>
  </si>
  <si>
    <t>Se cambia la palabra equipo por vehículo, se modifica el orden de la inspección de manera que se optimice tiempos de ejecución de inspecciones preoperacionales</t>
  </si>
  <si>
    <t>OPERADOR</t>
  </si>
  <si>
    <t>CEDULA</t>
  </si>
  <si>
    <t>SUPERVISOR</t>
  </si>
  <si>
    <t>FIRMA</t>
  </si>
  <si>
    <t>OBSERVACIONES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</si>
</sst>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-[$€-2]* #,##0.00_-;\-[$€-2]* #,##0.00_-;_-[$€-2]* &quot;-&quot;??_-"/>
    <numFmt numFmtId="166" formatCode="[$-C0A]d\-mmm\-yy;@"/>
  </numFmts>
  <fonts count="3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8"/>
      <name val="Arial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0"/>
      <name val="Arial Narrow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Muller Regular"/>
    </font>
    <font>
      <sz val="10"/>
      <color rgb="FF000000"/>
      <name val="Muller Regular"/>
    </font>
    <font>
      <b/>
      <sz val="18"/>
      <name val="Muller Regular"/>
    </font>
    <font>
      <b/>
      <sz val="10"/>
      <color theme="0"/>
      <name val="Muller Regular"/>
    </font>
    <font>
      <sz val="10"/>
      <color theme="0"/>
      <name val="Muller Regular"/>
    </font>
    <font>
      <b/>
      <sz val="10"/>
      <name val="Muller Regular"/>
    </font>
    <font>
      <b/>
      <sz val="16"/>
      <name val="Muller Regular"/>
    </font>
    <font>
      <sz val="10"/>
      <color theme="1"/>
      <name val="Muller Regula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004164"/>
        <bgColor indexed="64"/>
      </patternFill>
    </fill>
  </fills>
  <borders count="7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theme="0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0"/>
      </top>
      <bottom/>
      <diagonal/>
    </border>
    <border>
      <left/>
      <right style="thin">
        <color theme="1"/>
      </right>
      <top style="thin">
        <color indexed="64"/>
      </top>
      <bottom style="thin">
        <color theme="0"/>
      </bottom>
      <diagonal/>
    </border>
    <border>
      <left/>
      <right style="thin">
        <color theme="1"/>
      </right>
      <top style="thin">
        <color theme="0"/>
      </top>
      <bottom style="thin">
        <color theme="0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62">
    <xf numFmtId="0" fontId="0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6" fillId="6" borderId="0" applyNumberFormat="0" applyBorder="0" applyAlignment="0" applyProtection="0"/>
    <xf numFmtId="0" fontId="7" fillId="18" borderId="3" applyNumberFormat="0" applyAlignment="0" applyProtection="0"/>
    <xf numFmtId="0" fontId="8" fillId="19" borderId="4" applyNumberFormat="0" applyAlignment="0" applyProtection="0"/>
    <xf numFmtId="0" fontId="9" fillId="0" borderId="5" applyNumberFormat="0" applyFill="0" applyAlignment="0" applyProtection="0"/>
    <xf numFmtId="164" fontId="10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23" borderId="0" applyNumberFormat="0" applyBorder="0" applyAlignment="0" applyProtection="0"/>
    <xf numFmtId="0" fontId="12" fillId="9" borderId="3" applyNumberFormat="0" applyAlignment="0" applyProtection="0"/>
    <xf numFmtId="165" fontId="13" fillId="0" borderId="0" applyFont="0" applyFill="0" applyBorder="0" applyAlignment="0" applyProtection="0"/>
    <xf numFmtId="0" fontId="14" fillId="5" borderId="0" applyNumberFormat="0" applyBorder="0" applyAlignment="0" applyProtection="0"/>
    <xf numFmtId="164" fontId="3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5" fillId="24" borderId="0" applyNumberFormat="0" applyBorder="0" applyAlignment="0" applyProtection="0"/>
    <xf numFmtId="0" fontId="3" fillId="0" borderId="0"/>
    <xf numFmtId="0" fontId="10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2" fillId="0" borderId="0"/>
    <xf numFmtId="0" fontId="2" fillId="0" borderId="0"/>
    <xf numFmtId="0" fontId="3" fillId="0" borderId="0"/>
    <xf numFmtId="0" fontId="3" fillId="25" borderId="6" applyNumberFormat="0" applyFont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6" fillId="18" borderId="7" applyNumberFormat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11" fillId="0" borderId="10" applyNumberFormat="0" applyFill="0" applyAlignment="0" applyProtection="0"/>
    <xf numFmtId="0" fontId="21" fillId="0" borderId="0" applyNumberFormat="0" applyFill="0" applyBorder="0" applyAlignment="0" applyProtection="0"/>
    <xf numFmtId="0" fontId="22" fillId="0" borderId="11" applyNumberFormat="0" applyFill="0" applyAlignment="0" applyProtection="0"/>
    <xf numFmtId="0" fontId="1" fillId="0" borderId="0"/>
    <xf numFmtId="9" fontId="3" fillId="0" borderId="0" applyFont="0" applyFill="0" applyBorder="0" applyAlignment="0" applyProtection="0"/>
  </cellStyleXfs>
  <cellXfs count="164">
    <xf numFmtId="0" fontId="0" fillId="0" borderId="0" xfId="0"/>
    <xf numFmtId="0" fontId="23" fillId="0" borderId="0" xfId="39" applyFont="1" applyAlignment="1">
      <alignment horizontal="center"/>
    </xf>
    <xf numFmtId="0" fontId="23" fillId="0" borderId="0" xfId="39" applyFont="1"/>
    <xf numFmtId="0" fontId="23" fillId="0" borderId="0" xfId="39" applyFont="1" applyAlignment="1">
      <alignment wrapText="1"/>
    </xf>
    <xf numFmtId="0" fontId="23" fillId="3" borderId="0" xfId="39" applyFont="1" applyFill="1" applyAlignment="1">
      <alignment horizontal="center" vertical="center" wrapText="1"/>
    </xf>
    <xf numFmtId="0" fontId="26" fillId="0" borderId="0" xfId="39" applyFont="1" applyAlignment="1" applyProtection="1">
      <alignment vertical="center"/>
      <protection hidden="1"/>
    </xf>
    <xf numFmtId="0" fontId="23" fillId="0" borderId="12" xfId="39" applyFont="1" applyBorder="1" applyAlignment="1" applyProtection="1">
      <alignment horizontal="center" vertical="center" wrapText="1"/>
      <protection locked="0"/>
    </xf>
    <xf numFmtId="166" fontId="23" fillId="0" borderId="12" xfId="39" applyNumberFormat="1" applyFont="1" applyBorder="1" applyAlignment="1" applyProtection="1">
      <alignment horizontal="center" vertical="center" wrapText="1"/>
      <protection locked="0"/>
    </xf>
    <xf numFmtId="0" fontId="23" fillId="2" borderId="20" xfId="39" applyFont="1" applyFill="1" applyBorder="1" applyAlignment="1" applyProtection="1">
      <alignment horizontal="center" vertical="center" wrapText="1"/>
      <protection locked="0"/>
    </xf>
    <xf numFmtId="166" fontId="23" fillId="2" borderId="20" xfId="39" applyNumberFormat="1" applyFont="1" applyFill="1" applyBorder="1" applyAlignment="1" applyProtection="1">
      <alignment horizontal="center" vertical="center" wrapText="1"/>
      <protection locked="0"/>
    </xf>
    <xf numFmtId="0" fontId="23" fillId="0" borderId="12" xfId="39" applyFont="1" applyBorder="1" applyAlignment="1" applyProtection="1">
      <alignment horizontal="justify" vertical="justify" wrapText="1"/>
      <protection locked="0"/>
    </xf>
    <xf numFmtId="0" fontId="23" fillId="0" borderId="12" xfId="39" applyFont="1" applyBorder="1" applyAlignment="1" applyProtection="1">
      <alignment horizontal="justify" vertical="center" wrapText="1"/>
      <protection locked="0"/>
    </xf>
    <xf numFmtId="0" fontId="23" fillId="0" borderId="0" xfId="0" applyFont="1"/>
    <xf numFmtId="0" fontId="23" fillId="2" borderId="1" xfId="0" applyFont="1" applyFill="1" applyBorder="1"/>
    <xf numFmtId="0" fontId="23" fillId="2" borderId="0" xfId="0" applyFont="1" applyFill="1"/>
    <xf numFmtId="0" fontId="23" fillId="0" borderId="12" xfId="0" applyFont="1" applyBorder="1"/>
    <xf numFmtId="0" fontId="23" fillId="3" borderId="0" xfId="0" applyFont="1" applyFill="1"/>
    <xf numFmtId="0" fontId="23" fillId="0" borderId="12" xfId="0" applyFont="1" applyBorder="1" applyAlignment="1">
      <alignment horizontal="left" vertical="center"/>
    </xf>
    <xf numFmtId="0" fontId="23" fillId="0" borderId="12" xfId="0" applyFont="1" applyBorder="1" applyAlignment="1">
      <alignment vertical="center"/>
    </xf>
    <xf numFmtId="0" fontId="26" fillId="26" borderId="31" xfId="39" applyFont="1" applyFill="1" applyBorder="1" applyAlignment="1" applyProtection="1">
      <alignment vertical="center"/>
      <protection locked="0"/>
    </xf>
    <xf numFmtId="0" fontId="26" fillId="26" borderId="32" xfId="39" applyFont="1" applyFill="1" applyBorder="1" applyAlignment="1" applyProtection="1">
      <alignment vertical="center"/>
      <protection locked="0"/>
    </xf>
    <xf numFmtId="0" fontId="23" fillId="0" borderId="12" xfId="0" applyFont="1" applyBorder="1" applyAlignment="1">
      <alignment horizontal="left" vertical="center" indent="1"/>
    </xf>
    <xf numFmtId="0" fontId="23" fillId="0" borderId="12" xfId="0" applyFont="1" applyBorder="1" applyAlignment="1">
      <alignment horizontal="left" indent="1"/>
    </xf>
    <xf numFmtId="14" fontId="28" fillId="0" borderId="23" xfId="0" applyNumberFormat="1" applyFont="1" applyBorder="1" applyAlignment="1" applyProtection="1">
      <alignment horizontal="right" vertical="center" wrapText="1" indent="3"/>
      <protection hidden="1"/>
    </xf>
    <xf numFmtId="0" fontId="28" fillId="0" borderId="24" xfId="0" applyFont="1" applyBorder="1" applyAlignment="1" applyProtection="1">
      <alignment horizontal="right" vertical="center" wrapText="1" indent="3"/>
      <protection hidden="1"/>
    </xf>
    <xf numFmtId="0" fontId="26" fillId="26" borderId="44" xfId="0" applyFont="1" applyFill="1" applyBorder="1" applyAlignment="1">
      <alignment horizontal="center" vertical="center" wrapText="1"/>
    </xf>
    <xf numFmtId="0" fontId="26" fillId="26" borderId="46" xfId="0" applyFont="1" applyFill="1" applyBorder="1" applyAlignment="1">
      <alignment horizontal="center" vertical="center" wrapText="1"/>
    </xf>
    <xf numFmtId="0" fontId="26" fillId="26" borderId="45" xfId="0" applyFont="1" applyFill="1" applyBorder="1" applyAlignment="1">
      <alignment horizontal="center" vertical="center" wrapText="1"/>
    </xf>
    <xf numFmtId="0" fontId="26" fillId="26" borderId="44" xfId="0" applyFont="1" applyFill="1" applyBorder="1" applyAlignment="1">
      <alignment horizontal="center" vertical="center"/>
    </xf>
    <xf numFmtId="0" fontId="26" fillId="26" borderId="45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23" fillId="0" borderId="50" xfId="0" applyFont="1" applyBorder="1" applyAlignment="1">
      <alignment horizontal="center" vertical="center"/>
    </xf>
    <xf numFmtId="0" fontId="23" fillId="0" borderId="52" xfId="0" applyFont="1" applyBorder="1" applyAlignment="1">
      <alignment horizontal="center" vertical="center"/>
    </xf>
    <xf numFmtId="0" fontId="26" fillId="26" borderId="22" xfId="0" applyFont="1" applyFill="1" applyBorder="1" applyAlignment="1">
      <alignment horizontal="right" vertical="center" indent="1"/>
    </xf>
    <xf numFmtId="0" fontId="26" fillId="26" borderId="53" xfId="0" applyFont="1" applyFill="1" applyBorder="1" applyAlignment="1">
      <alignment horizontal="right" vertical="center" indent="1"/>
    </xf>
    <xf numFmtId="0" fontId="28" fillId="0" borderId="62" xfId="0" applyFont="1" applyBorder="1" applyAlignment="1" applyProtection="1">
      <alignment horizontal="right" vertical="center" wrapText="1" indent="3"/>
      <protection hidden="1"/>
    </xf>
    <xf numFmtId="0" fontId="28" fillId="2" borderId="0" xfId="0" applyFont="1" applyFill="1" applyAlignment="1">
      <alignment horizontal="center"/>
    </xf>
    <xf numFmtId="0" fontId="28" fillId="2" borderId="0" xfId="0" applyFont="1" applyFill="1" applyAlignment="1">
      <alignment vertical="center"/>
    </xf>
    <xf numFmtId="0" fontId="28" fillId="2" borderId="0" xfId="0" applyFont="1" applyFill="1" applyAlignment="1">
      <alignment horizontal="center" vertical="center"/>
    </xf>
    <xf numFmtId="0" fontId="28" fillId="2" borderId="0" xfId="0" applyFont="1" applyFill="1"/>
    <xf numFmtId="0" fontId="23" fillId="0" borderId="16" xfId="0" applyFont="1" applyBorder="1"/>
    <xf numFmtId="0" fontId="23" fillId="0" borderId="15" xfId="0" applyFont="1" applyBorder="1" applyAlignment="1">
      <alignment vertical="center"/>
    </xf>
    <xf numFmtId="0" fontId="23" fillId="0" borderId="13" xfId="0" applyFont="1" applyBorder="1" applyAlignment="1">
      <alignment vertical="center"/>
    </xf>
    <xf numFmtId="0" fontId="23" fillId="0" borderId="14" xfId="0" applyFont="1" applyBorder="1" applyAlignment="1">
      <alignment vertical="center"/>
    </xf>
    <xf numFmtId="0" fontId="26" fillId="0" borderId="18" xfId="0" applyFont="1" applyBorder="1" applyAlignment="1">
      <alignment horizontal="center" vertical="center"/>
    </xf>
    <xf numFmtId="0" fontId="26" fillId="0" borderId="18" xfId="0" applyFont="1" applyBorder="1" applyAlignment="1">
      <alignment horizontal="center"/>
    </xf>
    <xf numFmtId="0" fontId="27" fillId="0" borderId="18" xfId="0" applyFont="1" applyBorder="1"/>
    <xf numFmtId="0" fontId="23" fillId="0" borderId="13" xfId="0" applyFont="1" applyBorder="1" applyAlignment="1">
      <alignment horizontal="left" vertical="center" indent="1"/>
    </xf>
    <xf numFmtId="0" fontId="26" fillId="2" borderId="18" xfId="0" applyFont="1" applyFill="1" applyBorder="1" applyAlignment="1">
      <alignment horizontal="center"/>
    </xf>
    <xf numFmtId="0" fontId="23" fillId="2" borderId="20" xfId="39" applyFont="1" applyFill="1" applyBorder="1" applyAlignment="1" applyProtection="1">
      <alignment horizontal="justify" vertical="center" wrapText="1"/>
      <protection locked="0"/>
    </xf>
    <xf numFmtId="0" fontId="26" fillId="26" borderId="30" xfId="39" applyFont="1" applyFill="1" applyBorder="1" applyAlignment="1" applyProtection="1">
      <alignment horizontal="left" vertical="center" indent="1"/>
      <protection locked="0"/>
    </xf>
    <xf numFmtId="0" fontId="26" fillId="2" borderId="12" xfId="0" applyFont="1" applyFill="1" applyBorder="1" applyAlignment="1">
      <alignment horizontal="center" vertical="center"/>
    </xf>
    <xf numFmtId="0" fontId="23" fillId="0" borderId="26" xfId="0" applyFont="1" applyBorder="1" applyAlignment="1">
      <alignment wrapText="1"/>
    </xf>
    <xf numFmtId="0" fontId="23" fillId="0" borderId="14" xfId="0" applyFont="1" applyBorder="1" applyAlignment="1">
      <alignment wrapText="1"/>
    </xf>
    <xf numFmtId="0" fontId="23" fillId="0" borderId="15" xfId="0" applyFont="1" applyBorder="1" applyAlignment="1">
      <alignment wrapText="1"/>
    </xf>
    <xf numFmtId="0" fontId="28" fillId="2" borderId="1" xfId="0" applyFont="1" applyFill="1" applyBorder="1" applyAlignment="1">
      <alignment horizontal="center" vertical="center" wrapText="1"/>
    </xf>
    <xf numFmtId="0" fontId="28" fillId="2" borderId="2" xfId="0" applyFont="1" applyFill="1" applyBorder="1" applyAlignment="1">
      <alignment horizontal="center" vertical="center" wrapText="1"/>
    </xf>
    <xf numFmtId="0" fontId="28" fillId="2" borderId="65" xfId="0" applyFont="1" applyFill="1" applyBorder="1" applyAlignment="1">
      <alignment horizontal="center" vertical="center" wrapText="1"/>
    </xf>
    <xf numFmtId="0" fontId="28" fillId="2" borderId="66" xfId="0" applyFont="1" applyFill="1" applyBorder="1" applyAlignment="1">
      <alignment horizontal="center" vertical="center" wrapText="1"/>
    </xf>
    <xf numFmtId="0" fontId="28" fillId="2" borderId="67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 wrapText="1"/>
    </xf>
    <xf numFmtId="0" fontId="23" fillId="0" borderId="68" xfId="0" applyFont="1" applyBorder="1" applyAlignment="1">
      <alignment horizontal="center" vertical="center"/>
    </xf>
    <xf numFmtId="0" fontId="23" fillId="0" borderId="69" xfId="0" applyFont="1" applyBorder="1" applyAlignment="1">
      <alignment horizontal="center" vertical="center"/>
    </xf>
    <xf numFmtId="0" fontId="23" fillId="0" borderId="70" xfId="0" applyFont="1" applyBorder="1" applyAlignment="1">
      <alignment horizontal="center" vertical="center"/>
    </xf>
    <xf numFmtId="0" fontId="28" fillId="2" borderId="19" xfId="0" applyFont="1" applyFill="1" applyBorder="1" applyAlignment="1">
      <alignment horizontal="center" wrapText="1"/>
    </xf>
    <xf numFmtId="0" fontId="28" fillId="2" borderId="17" xfId="0" applyFont="1" applyFill="1" applyBorder="1" applyAlignment="1">
      <alignment horizontal="center" wrapText="1"/>
    </xf>
    <xf numFmtId="0" fontId="26" fillId="26" borderId="56" xfId="0" applyFont="1" applyFill="1" applyBorder="1" applyAlignment="1">
      <alignment horizontal="right" vertical="center" indent="2"/>
    </xf>
    <xf numFmtId="0" fontId="26" fillId="26" borderId="51" xfId="0" applyFont="1" applyFill="1" applyBorder="1" applyAlignment="1">
      <alignment horizontal="right" vertical="center" indent="2"/>
    </xf>
    <xf numFmtId="0" fontId="23" fillId="0" borderId="13" xfId="0" applyFont="1" applyBorder="1" applyAlignment="1">
      <alignment vertical="center" wrapText="1"/>
    </xf>
    <xf numFmtId="0" fontId="23" fillId="0" borderId="14" xfId="0" applyFont="1" applyBorder="1" applyAlignment="1">
      <alignment vertical="center" wrapText="1"/>
    </xf>
    <xf numFmtId="0" fontId="23" fillId="0" borderId="15" xfId="0" applyFont="1" applyBorder="1" applyAlignment="1">
      <alignment vertical="center" wrapText="1"/>
    </xf>
    <xf numFmtId="0" fontId="28" fillId="0" borderId="1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center"/>
    </xf>
    <xf numFmtId="0" fontId="26" fillId="26" borderId="25" xfId="0" applyFont="1" applyFill="1" applyBorder="1" applyAlignment="1">
      <alignment horizontal="center" vertical="center" wrapText="1"/>
    </xf>
    <xf numFmtId="0" fontId="27" fillId="26" borderId="12" xfId="0" applyFont="1" applyFill="1" applyBorder="1" applyAlignment="1">
      <alignment horizontal="center" vertical="center" wrapText="1"/>
    </xf>
    <xf numFmtId="0" fontId="27" fillId="26" borderId="13" xfId="0" applyFont="1" applyFill="1" applyBorder="1" applyAlignment="1">
      <alignment horizontal="center" vertical="center" wrapText="1"/>
    </xf>
    <xf numFmtId="0" fontId="28" fillId="2" borderId="59" xfId="0" applyFont="1" applyFill="1" applyBorder="1" applyAlignment="1" applyProtection="1">
      <alignment horizontal="center" vertical="center" wrapText="1"/>
      <protection hidden="1"/>
    </xf>
    <xf numFmtId="0" fontId="28" fillId="2" borderId="60" xfId="0" applyFont="1" applyFill="1" applyBorder="1" applyAlignment="1" applyProtection="1">
      <alignment horizontal="center" vertical="center" wrapText="1"/>
      <protection hidden="1"/>
    </xf>
    <xf numFmtId="0" fontId="28" fillId="2" borderId="25" xfId="0" applyFont="1" applyFill="1" applyBorder="1" applyAlignment="1" applyProtection="1">
      <alignment horizontal="center" vertical="center" wrapText="1"/>
      <protection hidden="1"/>
    </xf>
    <xf numFmtId="0" fontId="28" fillId="2" borderId="12" xfId="0" applyFont="1" applyFill="1" applyBorder="1" applyAlignment="1" applyProtection="1">
      <alignment horizontal="center" vertical="center" wrapText="1"/>
      <protection hidden="1"/>
    </xf>
    <xf numFmtId="0" fontId="29" fillId="0" borderId="60" xfId="0" applyFont="1" applyBorder="1" applyAlignment="1" applyProtection="1">
      <alignment horizontal="center" vertical="center" wrapText="1"/>
      <protection hidden="1"/>
    </xf>
    <xf numFmtId="0" fontId="29" fillId="0" borderId="61" xfId="0" applyFont="1" applyBorder="1" applyAlignment="1" applyProtection="1">
      <alignment horizontal="center" vertical="center" wrapText="1"/>
      <protection hidden="1"/>
    </xf>
    <xf numFmtId="0" fontId="29" fillId="0" borderId="12" xfId="0" applyFont="1" applyBorder="1" applyAlignment="1" applyProtection="1">
      <alignment horizontal="center" vertical="center" wrapText="1"/>
      <protection hidden="1"/>
    </xf>
    <xf numFmtId="0" fontId="29" fillId="0" borderId="13" xfId="0" applyFont="1" applyBorder="1" applyAlignment="1" applyProtection="1">
      <alignment horizontal="center" vertical="center" wrapText="1"/>
      <protection hidden="1"/>
    </xf>
    <xf numFmtId="0" fontId="28" fillId="0" borderId="63" xfId="0" applyFont="1" applyBorder="1" applyAlignment="1" applyProtection="1">
      <alignment horizontal="left" vertical="center" wrapText="1" indent="1"/>
      <protection hidden="1"/>
    </xf>
    <xf numFmtId="0" fontId="28" fillId="0" borderId="64" xfId="0" applyFont="1" applyBorder="1" applyAlignment="1" applyProtection="1">
      <alignment horizontal="left" vertical="center" wrapText="1" indent="1"/>
      <protection hidden="1"/>
    </xf>
    <xf numFmtId="1" fontId="28" fillId="0" borderId="0" xfId="0" applyNumberFormat="1" applyFont="1" applyAlignment="1" applyProtection="1">
      <alignment horizontal="left" vertical="center" wrapText="1" indent="1"/>
      <protection hidden="1"/>
    </xf>
    <xf numFmtId="1" fontId="28" fillId="0" borderId="2" xfId="0" applyNumberFormat="1" applyFont="1" applyBorder="1" applyAlignment="1" applyProtection="1">
      <alignment horizontal="left" vertical="center" wrapText="1" indent="1"/>
      <protection hidden="1"/>
    </xf>
    <xf numFmtId="14" fontId="28" fillId="0" borderId="21" xfId="0" applyNumberFormat="1" applyFont="1" applyBorder="1" applyAlignment="1" applyProtection="1">
      <alignment horizontal="left" vertical="center" wrapText="1" indent="1"/>
      <protection hidden="1"/>
    </xf>
    <xf numFmtId="14" fontId="28" fillId="0" borderId="27" xfId="0" applyNumberFormat="1" applyFont="1" applyBorder="1" applyAlignment="1" applyProtection="1">
      <alignment horizontal="left" vertical="center" wrapText="1" indent="1"/>
      <protection hidden="1"/>
    </xf>
    <xf numFmtId="0" fontId="26" fillId="26" borderId="43" xfId="0" applyFont="1" applyFill="1" applyBorder="1" applyAlignment="1">
      <alignment horizontal="center" vertical="center"/>
    </xf>
    <xf numFmtId="0" fontId="27" fillId="26" borderId="12" xfId="0" applyFont="1" applyFill="1" applyBorder="1" applyAlignment="1">
      <alignment horizontal="center" vertical="center"/>
    </xf>
    <xf numFmtId="0" fontId="27" fillId="26" borderId="13" xfId="0" applyFont="1" applyFill="1" applyBorder="1" applyAlignment="1">
      <alignment horizontal="center" vertical="center"/>
    </xf>
    <xf numFmtId="0" fontId="23" fillId="0" borderId="25" xfId="0" applyFont="1" applyBorder="1" applyAlignment="1">
      <alignment wrapText="1"/>
    </xf>
    <xf numFmtId="0" fontId="23" fillId="0" borderId="12" xfId="0" applyFont="1" applyBorder="1" applyAlignment="1">
      <alignment wrapText="1"/>
    </xf>
    <xf numFmtId="0" fontId="23" fillId="0" borderId="14" xfId="0" applyFont="1" applyBorder="1" applyAlignment="1">
      <alignment horizontal="left" vertical="top" wrapText="1"/>
    </xf>
    <xf numFmtId="0" fontId="28" fillId="2" borderId="1" xfId="0" applyFont="1" applyFill="1" applyBorder="1" applyAlignment="1">
      <alignment horizontal="center"/>
    </xf>
    <xf numFmtId="0" fontId="28" fillId="2" borderId="0" xfId="0" applyFont="1" applyFill="1" applyAlignment="1">
      <alignment horizontal="center"/>
    </xf>
    <xf numFmtId="0" fontId="23" fillId="0" borderId="0" xfId="0" applyFont="1" applyAlignment="1">
      <alignment horizontal="center"/>
    </xf>
    <xf numFmtId="0" fontId="23" fillId="0" borderId="2" xfId="0" applyFont="1" applyBorder="1" applyAlignment="1">
      <alignment horizontal="center"/>
    </xf>
    <xf numFmtId="0" fontId="28" fillId="0" borderId="57" xfId="0" applyFont="1" applyBorder="1" applyAlignment="1">
      <alignment horizontal="center" vertical="center"/>
    </xf>
    <xf numFmtId="0" fontId="28" fillId="0" borderId="47" xfId="0" applyFont="1" applyBorder="1" applyAlignment="1">
      <alignment horizontal="center" vertical="center"/>
    </xf>
    <xf numFmtId="0" fontId="28" fillId="0" borderId="49" xfId="0" applyFont="1" applyBorder="1" applyAlignment="1">
      <alignment horizontal="center" vertical="center"/>
    </xf>
    <xf numFmtId="0" fontId="26" fillId="26" borderId="54" xfId="0" applyFont="1" applyFill="1" applyBorder="1" applyAlignment="1">
      <alignment horizontal="right" vertical="center" indent="2"/>
    </xf>
    <xf numFmtId="0" fontId="26" fillId="26" borderId="48" xfId="0" applyFont="1" applyFill="1" applyBorder="1" applyAlignment="1">
      <alignment horizontal="right" vertical="center" indent="2"/>
    </xf>
    <xf numFmtId="0" fontId="28" fillId="0" borderId="58" xfId="0" applyFont="1" applyBorder="1" applyAlignment="1">
      <alignment horizontal="center" vertical="center"/>
    </xf>
    <xf numFmtId="0" fontId="28" fillId="0" borderId="29" xfId="0" applyFont="1" applyBorder="1" applyAlignment="1">
      <alignment horizontal="center" vertical="center"/>
    </xf>
    <xf numFmtId="0" fontId="28" fillId="0" borderId="50" xfId="0" applyFont="1" applyBorder="1" applyAlignment="1">
      <alignment horizontal="center" vertical="center"/>
    </xf>
    <xf numFmtId="0" fontId="28" fillId="0" borderId="71" xfId="0" applyFont="1" applyBorder="1" applyAlignment="1">
      <alignment horizontal="center" vertical="center"/>
    </xf>
    <xf numFmtId="0" fontId="28" fillId="0" borderId="72" xfId="0" applyFont="1" applyBorder="1" applyAlignment="1">
      <alignment horizontal="center" vertical="center"/>
    </xf>
    <xf numFmtId="0" fontId="28" fillId="0" borderId="73" xfId="0" applyFont="1" applyBorder="1" applyAlignment="1">
      <alignment horizontal="center" vertical="center"/>
    </xf>
    <xf numFmtId="0" fontId="26" fillId="26" borderId="37" xfId="0" applyFont="1" applyFill="1" applyBorder="1" applyAlignment="1">
      <alignment horizontal="right" vertical="center" indent="2"/>
    </xf>
    <xf numFmtId="0" fontId="26" fillId="26" borderId="41" xfId="0" applyFont="1" applyFill="1" applyBorder="1" applyAlignment="1">
      <alignment horizontal="right" vertical="center" indent="2"/>
    </xf>
    <xf numFmtId="0" fontId="26" fillId="26" borderId="55" xfId="0" applyFont="1" applyFill="1" applyBorder="1" applyAlignment="1">
      <alignment horizontal="right" vertical="center" indent="2"/>
    </xf>
    <xf numFmtId="0" fontId="26" fillId="26" borderId="42" xfId="0" applyFont="1" applyFill="1" applyBorder="1" applyAlignment="1">
      <alignment horizontal="right" vertical="center" indent="2"/>
    </xf>
    <xf numFmtId="0" fontId="26" fillId="26" borderId="28" xfId="39" applyFont="1" applyFill="1" applyBorder="1" applyAlignment="1" applyProtection="1">
      <alignment horizontal="center" vertical="center"/>
      <protection hidden="1"/>
    </xf>
    <xf numFmtId="0" fontId="26" fillId="26" borderId="30" xfId="39" applyFont="1" applyFill="1" applyBorder="1" applyAlignment="1" applyProtection="1">
      <alignment horizontal="center" vertical="center"/>
      <protection hidden="1"/>
    </xf>
    <xf numFmtId="0" fontId="26" fillId="26" borderId="31" xfId="39" applyFont="1" applyFill="1" applyBorder="1" applyAlignment="1" applyProtection="1">
      <alignment horizontal="center" vertical="center"/>
      <protection hidden="1"/>
    </xf>
    <xf numFmtId="0" fontId="26" fillId="26" borderId="32" xfId="39" applyFont="1" applyFill="1" applyBorder="1" applyAlignment="1" applyProtection="1">
      <alignment horizontal="center" vertical="center"/>
      <protection hidden="1"/>
    </xf>
    <xf numFmtId="0" fontId="24" fillId="2" borderId="29" xfId="39" applyFont="1" applyFill="1" applyBorder="1" applyAlignment="1">
      <alignment horizontal="center" vertical="center" wrapText="1"/>
    </xf>
    <xf numFmtId="0" fontId="25" fillId="0" borderId="33" xfId="39" applyFont="1" applyBorder="1" applyAlignment="1" applyProtection="1">
      <alignment horizontal="center" vertical="center" wrapText="1"/>
      <protection locked="0"/>
    </xf>
    <xf numFmtId="0" fontId="25" fillId="0" borderId="34" xfId="39" applyFont="1" applyBorder="1" applyAlignment="1" applyProtection="1">
      <alignment horizontal="center" vertical="center" wrapText="1"/>
      <protection locked="0"/>
    </xf>
    <xf numFmtId="0" fontId="25" fillId="0" borderId="35" xfId="39" applyFont="1" applyBorder="1" applyAlignment="1" applyProtection="1">
      <alignment horizontal="center" vertical="center" wrapText="1"/>
      <protection locked="0"/>
    </xf>
    <xf numFmtId="0" fontId="25" fillId="0" borderId="36" xfId="39" applyFont="1" applyBorder="1" applyAlignment="1" applyProtection="1">
      <alignment horizontal="center" vertical="center" wrapText="1"/>
      <protection locked="0"/>
    </xf>
    <xf numFmtId="0" fontId="25" fillId="0" borderId="0" xfId="39" applyFont="1" applyAlignment="1" applyProtection="1">
      <alignment horizontal="center" vertical="center" wrapText="1"/>
      <protection locked="0"/>
    </xf>
    <xf numFmtId="0" fontId="25" fillId="0" borderId="37" xfId="39" applyFont="1" applyBorder="1" applyAlignment="1" applyProtection="1">
      <alignment horizontal="center" vertical="center" wrapText="1"/>
      <protection locked="0"/>
    </xf>
    <xf numFmtId="0" fontId="25" fillId="0" borderId="38" xfId="39" applyFont="1" applyBorder="1" applyAlignment="1" applyProtection="1">
      <alignment horizontal="center" vertical="center" wrapText="1"/>
      <protection locked="0"/>
    </xf>
    <xf numFmtId="0" fontId="25" fillId="0" borderId="39" xfId="39" applyFont="1" applyBorder="1" applyAlignment="1" applyProtection="1">
      <alignment horizontal="center" vertical="center" wrapText="1"/>
      <protection locked="0"/>
    </xf>
    <xf numFmtId="0" fontId="25" fillId="0" borderId="40" xfId="39" applyFont="1" applyBorder="1" applyAlignment="1" applyProtection="1">
      <alignment horizontal="center" vertical="center" wrapText="1"/>
      <protection locked="0"/>
    </xf>
    <xf numFmtId="0" fontId="26" fillId="26" borderId="28" xfId="39" applyFont="1" applyFill="1" applyBorder="1" applyAlignment="1" applyProtection="1">
      <alignment horizontal="center" vertical="center" wrapText="1"/>
      <protection hidden="1"/>
    </xf>
    <xf numFmtId="0" fontId="27" fillId="26" borderId="28" xfId="39" applyFont="1" applyFill="1" applyBorder="1" applyAlignment="1" applyProtection="1">
      <alignment horizontal="center"/>
      <protection hidden="1"/>
    </xf>
    <xf numFmtId="0" fontId="28" fillId="2" borderId="74" xfId="0" applyFont="1" applyFill="1" applyBorder="1" applyAlignment="1">
      <alignment horizontal="center" wrapText="1"/>
    </xf>
    <xf numFmtId="0" fontId="28" fillId="2" borderId="63" xfId="0" applyFont="1" applyFill="1" applyBorder="1" applyAlignment="1">
      <alignment horizontal="center" wrapText="1"/>
    </xf>
    <xf numFmtId="0" fontId="28" fillId="0" borderId="0" xfId="0" applyFont="1" applyBorder="1" applyAlignment="1">
      <alignment horizontal="left" vertical="center" wrapText="1"/>
    </xf>
    <xf numFmtId="0" fontId="28" fillId="0" borderId="0" xfId="0" applyFont="1" applyBorder="1" applyAlignment="1">
      <alignment horizontal="center" vertical="center" wrapText="1"/>
    </xf>
    <xf numFmtId="0" fontId="28" fillId="0" borderId="63" xfId="0" applyFont="1" applyBorder="1" applyAlignment="1">
      <alignment horizontal="left" vertical="center" wrapText="1"/>
    </xf>
    <xf numFmtId="0" fontId="28" fillId="0" borderId="64" xfId="0" applyFont="1" applyBorder="1" applyAlignment="1">
      <alignment horizontal="left" vertical="center" wrapText="1"/>
    </xf>
    <xf numFmtId="0" fontId="28" fillId="0" borderId="66" xfId="0" applyFont="1" applyBorder="1" applyAlignment="1">
      <alignment horizontal="center" vertical="center" wrapText="1"/>
    </xf>
    <xf numFmtId="0" fontId="28" fillId="0" borderId="67" xfId="0" applyFont="1" applyBorder="1" applyAlignment="1">
      <alignment horizontal="center" vertical="center" wrapText="1"/>
    </xf>
    <xf numFmtId="0" fontId="28" fillId="0" borderId="74" xfId="0" applyFont="1" applyBorder="1" applyAlignment="1">
      <alignment horizontal="left" vertical="center" wrapText="1"/>
    </xf>
    <xf numFmtId="0" fontId="28" fillId="2" borderId="74" xfId="0" applyFont="1" applyFill="1" applyBorder="1" applyAlignment="1">
      <alignment horizontal="left" vertical="center" wrapText="1"/>
    </xf>
    <xf numFmtId="0" fontId="28" fillId="2" borderId="63" xfId="0" applyFont="1" applyFill="1" applyBorder="1" applyAlignment="1">
      <alignment horizontal="left" vertical="center" wrapText="1"/>
    </xf>
    <xf numFmtId="0" fontId="28" fillId="2" borderId="64" xfId="0" applyFont="1" applyFill="1" applyBorder="1" applyAlignment="1">
      <alignment horizontal="left" vertical="center" wrapText="1"/>
    </xf>
    <xf numFmtId="0" fontId="28" fillId="2" borderId="0" xfId="0" applyFont="1" applyFill="1" applyBorder="1" applyAlignment="1">
      <alignment horizontal="center" vertical="center" wrapText="1"/>
    </xf>
    <xf numFmtId="0" fontId="28" fillId="0" borderId="65" xfId="0" applyFont="1" applyBorder="1" applyAlignment="1">
      <alignment horizontal="left" vertical="center" wrapText="1"/>
    </xf>
    <xf numFmtId="0" fontId="28" fillId="0" borderId="66" xfId="0" applyFont="1" applyBorder="1" applyAlignment="1">
      <alignment horizontal="left" vertical="center" wrapText="1"/>
    </xf>
    <xf numFmtId="0" fontId="28" fillId="2" borderId="66" xfId="0" applyFont="1" applyFill="1" applyBorder="1" applyAlignment="1">
      <alignment horizontal="left" vertical="center" wrapText="1"/>
    </xf>
    <xf numFmtId="0" fontId="28" fillId="0" borderId="76" xfId="0" applyFont="1" applyBorder="1" applyAlignment="1">
      <alignment horizontal="left" vertical="center" wrapText="1"/>
    </xf>
    <xf numFmtId="0" fontId="28" fillId="0" borderId="24" xfId="0" applyFont="1" applyBorder="1" applyAlignment="1">
      <alignment horizontal="left" vertical="center" wrapText="1"/>
    </xf>
    <xf numFmtId="0" fontId="28" fillId="0" borderId="21" xfId="0" applyFont="1" applyBorder="1" applyAlignment="1">
      <alignment horizontal="left" vertical="center" wrapText="1"/>
    </xf>
    <xf numFmtId="0" fontId="28" fillId="0" borderId="27" xfId="0" applyFont="1" applyBorder="1" applyAlignment="1">
      <alignment horizontal="left" vertical="center" wrapText="1"/>
    </xf>
    <xf numFmtId="0" fontId="28" fillId="2" borderId="0" xfId="0" applyFont="1" applyFill="1" applyBorder="1" applyAlignment="1">
      <alignment horizontal="left" vertical="center" wrapText="1"/>
    </xf>
    <xf numFmtId="0" fontId="28" fillId="2" borderId="75" xfId="0" applyFont="1" applyFill="1" applyBorder="1" applyAlignment="1">
      <alignment horizontal="left" vertical="center" wrapText="1"/>
    </xf>
    <xf numFmtId="0" fontId="28" fillId="2" borderId="21" xfId="0" applyFont="1" applyFill="1" applyBorder="1" applyAlignment="1">
      <alignment horizontal="left" vertical="center" wrapText="1"/>
    </xf>
    <xf numFmtId="0" fontId="28" fillId="2" borderId="27" xfId="0" applyFont="1" applyFill="1" applyBorder="1" applyAlignment="1">
      <alignment horizontal="left" vertical="center" wrapText="1"/>
    </xf>
    <xf numFmtId="0" fontId="23" fillId="2" borderId="74" xfId="0" applyFont="1" applyFill="1" applyBorder="1" applyAlignment="1">
      <alignment horizontal="left" vertical="center"/>
    </xf>
    <xf numFmtId="0" fontId="23" fillId="2" borderId="63" xfId="0" applyFont="1" applyFill="1" applyBorder="1" applyAlignment="1">
      <alignment horizontal="left" vertical="center"/>
    </xf>
    <xf numFmtId="0" fontId="23" fillId="2" borderId="64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center"/>
    </xf>
  </cellXfs>
  <cellStyles count="62">
    <cellStyle name="20% - Énfasis1 2" xfId="1" xr:uid="{00000000-0005-0000-0000-000000000000}"/>
    <cellStyle name="20% - Énfasis2 2" xfId="2" xr:uid="{00000000-0005-0000-0000-000001000000}"/>
    <cellStyle name="20% - Énfasis3 2" xfId="3" xr:uid="{00000000-0005-0000-0000-000002000000}"/>
    <cellStyle name="20% - Énfasis4 2" xfId="4" xr:uid="{00000000-0005-0000-0000-000003000000}"/>
    <cellStyle name="20% - Énfasis5 2" xfId="5" xr:uid="{00000000-0005-0000-0000-000004000000}"/>
    <cellStyle name="20% - Énfasis6 2" xfId="6" xr:uid="{00000000-0005-0000-0000-000005000000}"/>
    <cellStyle name="40% - Énfasis1 2" xfId="7" xr:uid="{00000000-0005-0000-0000-000006000000}"/>
    <cellStyle name="40% - Énfasis2 2" xfId="8" xr:uid="{00000000-0005-0000-0000-000007000000}"/>
    <cellStyle name="40% - Énfasis3 2" xfId="9" xr:uid="{00000000-0005-0000-0000-000008000000}"/>
    <cellStyle name="40% - Énfasis4 2" xfId="10" xr:uid="{00000000-0005-0000-0000-000009000000}"/>
    <cellStyle name="40% - Énfasis5 2" xfId="11" xr:uid="{00000000-0005-0000-0000-00000A000000}"/>
    <cellStyle name="40% - Énfasis6 2" xfId="12" xr:uid="{00000000-0005-0000-0000-00000B000000}"/>
    <cellStyle name="60% - Énfasis1 2" xfId="13" xr:uid="{00000000-0005-0000-0000-00000C000000}"/>
    <cellStyle name="60% - Énfasis2 2" xfId="14" xr:uid="{00000000-0005-0000-0000-00000D000000}"/>
    <cellStyle name="60% - Énfasis3 2" xfId="15" xr:uid="{00000000-0005-0000-0000-00000E000000}"/>
    <cellStyle name="60% - Énfasis4 2" xfId="16" xr:uid="{00000000-0005-0000-0000-00000F000000}"/>
    <cellStyle name="60% - Énfasis5 2" xfId="17" xr:uid="{00000000-0005-0000-0000-000010000000}"/>
    <cellStyle name="60% - Énfasis6 2" xfId="18" xr:uid="{00000000-0005-0000-0000-000011000000}"/>
    <cellStyle name="Buena 2" xfId="19" xr:uid="{00000000-0005-0000-0000-000012000000}"/>
    <cellStyle name="Cálculo 2" xfId="20" xr:uid="{00000000-0005-0000-0000-000013000000}"/>
    <cellStyle name="Celda de comprobación 2" xfId="21" xr:uid="{00000000-0005-0000-0000-000014000000}"/>
    <cellStyle name="Celda vinculada 2" xfId="22" xr:uid="{00000000-0005-0000-0000-000015000000}"/>
    <cellStyle name="Comma 2" xfId="23" xr:uid="{00000000-0005-0000-0000-000016000000}"/>
    <cellStyle name="Encabezado 4 2" xfId="24" xr:uid="{00000000-0005-0000-0000-000017000000}"/>
    <cellStyle name="Énfasis1 2" xfId="25" xr:uid="{00000000-0005-0000-0000-000018000000}"/>
    <cellStyle name="Énfasis2 2" xfId="26" xr:uid="{00000000-0005-0000-0000-000019000000}"/>
    <cellStyle name="Énfasis3 2" xfId="27" xr:uid="{00000000-0005-0000-0000-00001A000000}"/>
    <cellStyle name="Énfasis4 2" xfId="28" xr:uid="{00000000-0005-0000-0000-00001B000000}"/>
    <cellStyle name="Énfasis5 2" xfId="29" xr:uid="{00000000-0005-0000-0000-00001C000000}"/>
    <cellStyle name="Énfasis6 2" xfId="30" xr:uid="{00000000-0005-0000-0000-00001D000000}"/>
    <cellStyle name="Entrada 2" xfId="31" xr:uid="{00000000-0005-0000-0000-00001E000000}"/>
    <cellStyle name="Euro" xfId="32" xr:uid="{00000000-0005-0000-0000-00001F000000}"/>
    <cellStyle name="Incorrecto 2" xfId="33" xr:uid="{00000000-0005-0000-0000-000020000000}"/>
    <cellStyle name="Millares 2" xfId="34" xr:uid="{00000000-0005-0000-0000-000021000000}"/>
    <cellStyle name="Millares 3" xfId="35" xr:uid="{00000000-0005-0000-0000-000022000000}"/>
    <cellStyle name="Neutral 2" xfId="36" xr:uid="{00000000-0005-0000-0000-000023000000}"/>
    <cellStyle name="Normal" xfId="0" builtinId="0"/>
    <cellStyle name="Normal 2" xfId="37" xr:uid="{00000000-0005-0000-0000-000025000000}"/>
    <cellStyle name="Normal 2 2" xfId="38" xr:uid="{00000000-0005-0000-0000-000026000000}"/>
    <cellStyle name="Normal 2 2 2" xfId="39" xr:uid="{00000000-0005-0000-0000-000027000000}"/>
    <cellStyle name="Normal 2 3" xfId="40" xr:uid="{00000000-0005-0000-0000-000028000000}"/>
    <cellStyle name="Normal 3" xfId="41" xr:uid="{00000000-0005-0000-0000-000029000000}"/>
    <cellStyle name="Normal 3 2" xfId="42" xr:uid="{00000000-0005-0000-0000-00002A000000}"/>
    <cellStyle name="Normal 4" xfId="43" xr:uid="{00000000-0005-0000-0000-00002B000000}"/>
    <cellStyle name="Normal 4 2" xfId="44" xr:uid="{00000000-0005-0000-0000-00002C000000}"/>
    <cellStyle name="Normal 5" xfId="45" xr:uid="{00000000-0005-0000-0000-00002D000000}"/>
    <cellStyle name="Normal 6" xfId="60" xr:uid="{00000000-0005-0000-0000-00002E000000}"/>
    <cellStyle name="Notas 2" xfId="46" xr:uid="{00000000-0005-0000-0000-00002F000000}"/>
    <cellStyle name="Percent 2" xfId="47" xr:uid="{00000000-0005-0000-0000-000030000000}"/>
    <cellStyle name="Percent 2 2" xfId="48" xr:uid="{00000000-0005-0000-0000-000031000000}"/>
    <cellStyle name="Percent 3" xfId="49" xr:uid="{00000000-0005-0000-0000-000032000000}"/>
    <cellStyle name="Porcentaje 2" xfId="61" xr:uid="{00000000-0005-0000-0000-000033000000}"/>
    <cellStyle name="Porcentual 2" xfId="50" xr:uid="{00000000-0005-0000-0000-000034000000}"/>
    <cellStyle name="Porcentual 2 2" xfId="51" xr:uid="{00000000-0005-0000-0000-000035000000}"/>
    <cellStyle name="Salida 2" xfId="52" xr:uid="{00000000-0005-0000-0000-000036000000}"/>
    <cellStyle name="Texto de advertencia 2" xfId="53" xr:uid="{00000000-0005-0000-0000-000037000000}"/>
    <cellStyle name="Texto explicativo 2" xfId="54" xr:uid="{00000000-0005-0000-0000-000038000000}"/>
    <cellStyle name="Título 1 2" xfId="55" xr:uid="{00000000-0005-0000-0000-000039000000}"/>
    <cellStyle name="Título 2 2" xfId="56" xr:uid="{00000000-0005-0000-0000-00003A000000}"/>
    <cellStyle name="Título 3 2" xfId="57" xr:uid="{00000000-0005-0000-0000-00003B000000}"/>
    <cellStyle name="Título 4" xfId="58" xr:uid="{00000000-0005-0000-0000-00003C000000}"/>
    <cellStyle name="Total 2" xfId="59" xr:uid="{00000000-0005-0000-0000-00003D000000}"/>
  </cellStyles>
  <dxfs count="0"/>
  <tableStyles count="0" defaultTableStyle="TableStyleMedium2" defaultPivotStyle="PivotStyleLight16"/>
  <colors>
    <mruColors>
      <color rgb="FF0041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304801</xdr:colOff>
      <xdr:row>1</xdr:row>
      <xdr:rowOff>76201</xdr:rowOff>
    </xdr:from>
    <xdr:to>
      <xdr:col>2</xdr:col>
      <xdr:colOff>1285876</xdr:colOff>
      <xdr:row>4</xdr:row>
      <xdr:rowOff>30838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3C9587B-0C17-464D-D6EC-33477E3BF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6" y="238126"/>
          <a:ext cx="2171700" cy="78331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</xdr:colOff>
      <xdr:row>0</xdr:row>
      <xdr:rowOff>71438</xdr:rowOff>
    </xdr:from>
    <xdr:to>
      <xdr:col>2</xdr:col>
      <xdr:colOff>1535906</xdr:colOff>
      <xdr:row>2</xdr:row>
      <xdr:rowOff>251857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0463D3-80E2-415F-AEB6-7C7ED0C5C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4337" y="71438"/>
          <a:ext cx="1950244" cy="71381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M%20IGUEL%20ANGEL\Google%20Drive\Persan%20S.A.S\DV%20Ingenieria\Asesor&#237;a\2.%20Desarrollo%20y%20ejecuci&#243;n\2.3.%20Funciones%20y%20responsabilidades\HSEQ-M02-F01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M%20IGUEL%20ANGEL\Google%20Drive\Ecologica-mente\Eficiencia%20ambiental\Temporal\4.3.%20Planificaci&#243;n\4.3.1.%20Aspectos%20ambientales\Matriz%20Amb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 de Cambios"/>
      <sheetName val="Datos"/>
      <sheetName val="ADMINISTRADOR DE OBRA"/>
    </sheetNames>
    <sheetDataSet>
      <sheetData sheetId="0"/>
      <sheetData sheetId="1">
        <row r="2">
          <cell r="D2" t="str">
            <v>ADMINISTRADOR DE OBRA</v>
          </cell>
        </row>
        <row r="3">
          <cell r="D3" t="str">
            <v>ALMACENISTA</v>
          </cell>
        </row>
        <row r="4">
          <cell r="D4" t="str">
            <v>ASESOR LEGAL</v>
          </cell>
        </row>
        <row r="5">
          <cell r="D5" t="str">
            <v>ASISTENTE ADMINISTRATIVO</v>
          </cell>
        </row>
        <row r="6">
          <cell r="D6" t="str">
            <v>ASISTENTE DE GESTIÓN TÉCNICA</v>
          </cell>
        </row>
        <row r="7">
          <cell r="D7" t="str">
            <v>AUDITORES INTERNOS</v>
          </cell>
        </row>
        <row r="8">
          <cell r="D8" t="str">
            <v>AUXILIAR CONTABLE</v>
          </cell>
        </row>
        <row r="9">
          <cell r="D9" t="str">
            <v>AUXILIAR HSEQ</v>
          </cell>
        </row>
        <row r="10">
          <cell r="D10" t="str">
            <v>AYUDANTE  OBRA ELÉCTRICA</v>
          </cell>
        </row>
        <row r="11">
          <cell r="D11" t="str">
            <v>AYUDANTE OBRA CIVIL</v>
          </cell>
        </row>
        <row r="12">
          <cell r="D12" t="str">
            <v>CADENERO</v>
          </cell>
        </row>
        <row r="13">
          <cell r="D13" t="str">
            <v>CAPATAZ DE OBRA CIVIL</v>
          </cell>
        </row>
        <row r="14">
          <cell r="D14" t="str">
            <v>CAPATAZ ELÉCTRICO</v>
          </cell>
        </row>
        <row r="15">
          <cell r="D15" t="str">
            <v>CONDUCTOR</v>
          </cell>
        </row>
        <row r="16">
          <cell r="D16" t="str">
            <v>CONTADOR</v>
          </cell>
        </row>
        <row r="17">
          <cell r="D17" t="str">
            <v>COORDINADOR HSEQ</v>
          </cell>
        </row>
        <row r="18">
          <cell r="D18" t="str">
            <v>DIRECTOR COMERCIAL</v>
          </cell>
        </row>
        <row r="19">
          <cell r="D19" t="str">
            <v>DIRECTOR DE PROYECTO</v>
          </cell>
        </row>
        <row r="20">
          <cell r="D20" t="str">
            <v>ELECTRICISTA CONEXIONISTA</v>
          </cell>
        </row>
        <row r="21">
          <cell r="D21" t="str">
            <v>GERENTE GENERAL</v>
          </cell>
        </row>
        <row r="22">
          <cell r="D22" t="str">
            <v>INGENIERO AUXILIAR</v>
          </cell>
        </row>
        <row r="23">
          <cell r="D23" t="str">
            <v>INGENIERO DE PROYECTOS</v>
          </cell>
        </row>
        <row r="24">
          <cell r="D24" t="str">
            <v>INTERVENTOR</v>
          </cell>
        </row>
        <row r="25">
          <cell r="D25" t="str">
            <v>MAESTRO DE OBRA CIVIL</v>
          </cell>
        </row>
        <row r="26">
          <cell r="D26" t="str">
            <v>OFICIAL DE MONTAJE</v>
          </cell>
        </row>
        <row r="27">
          <cell r="D27" t="str">
            <v>OFICIAL ELÉCTRICO</v>
          </cell>
        </row>
        <row r="28">
          <cell r="D28" t="str">
            <v>OFICIALES OBRA CIVIL</v>
          </cell>
        </row>
        <row r="29">
          <cell r="D29" t="str">
            <v>OPERADOR CAMIÓN GRÚA</v>
          </cell>
        </row>
        <row r="30">
          <cell r="D30" t="str">
            <v>RESIDENTE DE OBRA CIVIL</v>
          </cell>
        </row>
        <row r="31">
          <cell r="D31" t="str">
            <v>RESIDENTE DE OBRA ELÉCTRICA</v>
          </cell>
        </row>
        <row r="32">
          <cell r="D32" t="str">
            <v>REVISOR FISCAL</v>
          </cell>
        </row>
        <row r="33">
          <cell r="D33" t="str">
            <v>SERVICIOS GENERALES Y MENSAJERÍA</v>
          </cell>
        </row>
        <row r="34">
          <cell r="D34" t="str">
            <v>SUBGERENTE  GENERAL</v>
          </cell>
        </row>
        <row r="35">
          <cell r="D35" t="str">
            <v>SUPERVISOR  ELÉCTRICO</v>
          </cell>
        </row>
        <row r="36">
          <cell r="D36" t="str">
            <v>SUPERVISOR  ELECTROMECÁNICO</v>
          </cell>
        </row>
        <row r="37">
          <cell r="D37" t="str">
            <v>SUPERVISOR DE OBRA</v>
          </cell>
        </row>
        <row r="38">
          <cell r="D38" t="str">
            <v>SUPERVISOR HSE</v>
          </cell>
        </row>
        <row r="39">
          <cell r="D39" t="str">
            <v>TOPÓGRAFO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No modificable"/>
      <sheetName val="Control de Cambios"/>
      <sheetName val="Matriz"/>
      <sheetName val="Matriz (2)"/>
      <sheetName val="Datos"/>
    </sheetNames>
    <sheetDataSet>
      <sheetData sheetId="0">
        <row r="1">
          <cell r="B1" t="str">
            <v>Componente ambiental</v>
          </cell>
          <cell r="C1" t="str">
            <v>Aspecto ambiental relacionado</v>
          </cell>
          <cell r="D1" t="str">
            <v>Seleccione un componente ambiental</v>
          </cell>
        </row>
        <row r="2">
          <cell r="A2" t="str">
            <v>AGUA</v>
          </cell>
          <cell r="B2" t="str">
            <v>AGUA</v>
          </cell>
          <cell r="C2" t="str">
            <v>Descarga de aguas residuales industriales</v>
          </cell>
        </row>
        <row r="3">
          <cell r="A3" t="str">
            <v xml:space="preserve">SUELO </v>
          </cell>
          <cell r="B3" t="str">
            <v>AGUA</v>
          </cell>
          <cell r="C3" t="str">
            <v>Descarga de aguas residuales domésticas</v>
          </cell>
        </row>
        <row r="4">
          <cell r="A4" t="str">
            <v>AIRE</v>
          </cell>
          <cell r="B4" t="str">
            <v>AGUA</v>
          </cell>
          <cell r="C4" t="str">
            <v>Lixiviado de químicos</v>
          </cell>
        </row>
        <row r="5">
          <cell r="A5" t="str">
            <v>USO DE RECURSO NO RENOVABLE Y/O ESCASO</v>
          </cell>
          <cell r="B5" t="str">
            <v>AGUA</v>
          </cell>
          <cell r="C5" t="str">
            <v xml:space="preserve">Lixiviado de hidrocarburos </v>
          </cell>
        </row>
        <row r="6">
          <cell r="A6" t="str">
            <v>DERRAME DE QUÍMICOS Y COMBUSTIBLE</v>
          </cell>
          <cell r="B6" t="str">
            <v>AGUA</v>
          </cell>
          <cell r="C6" t="str">
            <v>Generación de residuos líquidos peligrosos (aceites usados, solventes contaminados, residuos de reactivos químicos)</v>
          </cell>
        </row>
        <row r="7">
          <cell r="A7" t="str">
            <v xml:space="preserve">EXPLOSIÓN  Y/O INCENDIO </v>
          </cell>
          <cell r="B7" t="str">
            <v xml:space="preserve">SUELO </v>
          </cell>
          <cell r="C7" t="str">
            <v>Generación de residuos sólidos no peligrosos aprovechables. (papel, cartón, plásticos, madera, chatarra, etc.)</v>
          </cell>
        </row>
        <row r="8">
          <cell r="A8" t="str">
            <v>FAUNA Y FLORA</v>
          </cell>
          <cell r="B8" t="str">
            <v xml:space="preserve">SUELO </v>
          </cell>
          <cell r="C8" t="str">
            <v>Generación de residuos sólidos peligrosos (fluorescentes, envases de químicos, baterías, medicamentos caducados, residuos contaminados con químicos o Hidrocarburos, etc.)</v>
          </cell>
        </row>
        <row r="9">
          <cell r="A9" t="str">
            <v>VISUAL Y OTROS</v>
          </cell>
          <cell r="B9" t="str">
            <v xml:space="preserve">SUELO </v>
          </cell>
          <cell r="C9" t="str">
            <v>Generación de residuos de aparatos eléctricos y electrónicos (Bombillas de mercurio, tonner de impresoras, partes de computadores y equipos relacionados, baterías de teléfonos de iones de Lítio, baterías alcalinas, etc)</v>
          </cell>
        </row>
        <row r="10">
          <cell r="A10" t="str">
            <v>DESASTRES NATURALES (Terremoto, Inundación)</v>
          </cell>
          <cell r="B10" t="str">
            <v xml:space="preserve">SUELO </v>
          </cell>
          <cell r="C10" t="str">
            <v>Uso de abonos orgánicos y controles biológicos</v>
          </cell>
        </row>
        <row r="11">
          <cell r="B11" t="str">
            <v xml:space="preserve">SUELO </v>
          </cell>
          <cell r="C11" t="str">
            <v>Generación de residuos sólidos no peligrosos no aprovechables.(Empaques de alimentos, servilletas, envases no reciclables, etc)</v>
          </cell>
        </row>
        <row r="12">
          <cell r="B12" t="str">
            <v>AIRE</v>
          </cell>
          <cell r="C12" t="str">
            <v>Aspecto ambienta visual (colocación de información gráfica externa)</v>
          </cell>
        </row>
        <row r="13">
          <cell r="B13" t="str">
            <v>AIRE</v>
          </cell>
          <cell r="C13" t="str">
            <v>Emisión de gases de combustión</v>
          </cell>
        </row>
        <row r="14">
          <cell r="B14" t="str">
            <v>AIRE</v>
          </cell>
          <cell r="C14" t="str">
            <v>Emisión de malos olores</v>
          </cell>
        </row>
        <row r="15">
          <cell r="B15" t="str">
            <v>AIRE</v>
          </cell>
          <cell r="C15" t="str">
            <v>Emisiones Atmosféricas de:
- Gases (CO2, SOx, NOx, CH4)
- Material particulado
- Compuestos orgánicos volátiles</v>
          </cell>
        </row>
        <row r="16">
          <cell r="B16" t="str">
            <v>AIRE</v>
          </cell>
          <cell r="C16" t="str">
            <v>Generación de Olores Ofensivos</v>
          </cell>
        </row>
        <row r="17">
          <cell r="B17" t="str">
            <v>AIRE</v>
          </cell>
          <cell r="C17" t="str">
            <v>Emisión de CFC.</v>
          </cell>
        </row>
        <row r="18">
          <cell r="B18" t="str">
            <v>AIRE</v>
          </cell>
          <cell r="C18" t="str">
            <v>Uso o escape de Sustancias Agotadoras de la Capa de Ozono  (Freones: CFC, HCFC, otros)</v>
          </cell>
        </row>
        <row r="19">
          <cell r="B19" t="str">
            <v>AIRE</v>
          </cell>
          <cell r="C19" t="str">
            <v>Generación de ruido</v>
          </cell>
        </row>
        <row r="20">
          <cell r="B20" t="str">
            <v>USO DE RECURSO NO RENOVABLE Y/O ESCASO</v>
          </cell>
          <cell r="C20" t="str">
            <v>Consumo de energía eléctrica</v>
          </cell>
        </row>
        <row r="21">
          <cell r="B21" t="str">
            <v>USO DE RECURSO NO RENOVABLE Y/O ESCASO</v>
          </cell>
          <cell r="C21" t="str">
            <v>Consumo de agua.</v>
          </cell>
        </row>
        <row r="22">
          <cell r="B22" t="str">
            <v>USO DE RECURSO NO RENOVABLE Y/O ESCASO</v>
          </cell>
          <cell r="C22" t="str">
            <v>Consumo de combustible</v>
          </cell>
        </row>
        <row r="23">
          <cell r="B23" t="str">
            <v>USO DE RECURSO NO RENOVABLE Y/O ESCASO</v>
          </cell>
          <cell r="C23" t="str">
            <v>Consumo de papel</v>
          </cell>
        </row>
        <row r="24">
          <cell r="B24" t="str">
            <v>DERRAME DE QUÍMICOS Y COMBUSTIBLE</v>
          </cell>
          <cell r="C24" t="str">
            <v>Derrame de químicos (Generación de residuos sólidos peligrosos)</v>
          </cell>
        </row>
        <row r="25">
          <cell r="B25" t="str">
            <v>DERRAME DE QUÍMICOS Y COMBUSTIBLE</v>
          </cell>
          <cell r="C25" t="str">
            <v>Derrame de químicos (Generación de residuos líquidos peligrosos)</v>
          </cell>
        </row>
        <row r="26">
          <cell r="B26" t="str">
            <v>DERRAME DE QUÍMICOS Y COMBUSTIBLE</v>
          </cell>
          <cell r="C26" t="str">
            <v>Derrame de hidrocarburos (Generación de residuos sólidos peligrosos)</v>
          </cell>
        </row>
        <row r="27">
          <cell r="B27" t="str">
            <v>DERRAME DE QUÍMICOS Y COMBUSTIBLE</v>
          </cell>
          <cell r="C27" t="str">
            <v>Derrame de hidrocarburos (Generación de residuos líquidos peligrosos)</v>
          </cell>
        </row>
        <row r="28">
          <cell r="B28" t="str">
            <v xml:space="preserve">EXPLOSIÓN  Y/O INCENDIO </v>
          </cell>
          <cell r="C28" t="str">
            <v>Generación de residuos sólidos peligrosos (residuos del incendio)</v>
          </cell>
        </row>
        <row r="29">
          <cell r="B29" t="str">
            <v xml:space="preserve">EXPLOSIÓN  Y/O INCENDIO </v>
          </cell>
          <cell r="C29" t="str">
            <v>Generación de residuos sólidos no peligrosos (residuos del incendio)</v>
          </cell>
        </row>
        <row r="30">
          <cell r="B30" t="str">
            <v xml:space="preserve">EXPLOSIÓN  Y/O INCENDIO </v>
          </cell>
          <cell r="C30" t="str">
            <v>Generación de residuos líquidos peligrosos (residuos del incendio)</v>
          </cell>
        </row>
        <row r="31">
          <cell r="B31" t="str">
            <v xml:space="preserve">EXPLOSIÓN  Y/O INCENDIO </v>
          </cell>
          <cell r="C31" t="str">
            <v>Generación de residuos Líquidos no peligrosos (residuos del incendio)</v>
          </cell>
        </row>
        <row r="32">
          <cell r="B32" t="str">
            <v xml:space="preserve">EXPLOSIÓN  Y/O INCENDIO </v>
          </cell>
          <cell r="C32" t="str">
            <v>Emisión de gases de combustión (como residuos de la combustión)</v>
          </cell>
        </row>
        <row r="33">
          <cell r="B33" t="str">
            <v>DESASTRES NATURALES (Terremoto, Inundación)</v>
          </cell>
          <cell r="C33" t="str">
            <v>Generación de residuos sólidos peligrosos (residuos de desastre)</v>
          </cell>
        </row>
        <row r="34">
          <cell r="B34" t="str">
            <v>DESASTRES NATURALES (Terremoto, Inundación)</v>
          </cell>
          <cell r="C34" t="str">
            <v>Generación de residuos sólidos no peligrosos (residuos de desastre)</v>
          </cell>
        </row>
        <row r="35">
          <cell r="B35" t="str">
            <v>FAUNA Y FLORA</v>
          </cell>
          <cell r="C35" t="str">
            <v>Consumo de madera</v>
          </cell>
        </row>
        <row r="36">
          <cell r="B36" t="str">
            <v>FAUNA Y FLORA</v>
          </cell>
          <cell r="C36" t="str">
            <v>Interacción con fauna</v>
          </cell>
        </row>
        <row r="37">
          <cell r="B37" t="str">
            <v>FAUNA Y FLORA</v>
          </cell>
          <cell r="C37" t="str">
            <v>Deforestación, poda o tala de árboles</v>
          </cell>
        </row>
        <row r="38">
          <cell r="B38" t="str">
            <v>FAUNA Y FLORA</v>
          </cell>
          <cell r="C38" t="str">
            <v>Reforestación</v>
          </cell>
        </row>
        <row r="39">
          <cell r="B39" t="str">
            <v>FAUNA Y FLORA</v>
          </cell>
          <cell r="C39" t="str">
            <v>Descarga de agentes contaminantes en agua, aire o suelo</v>
          </cell>
        </row>
        <row r="40">
          <cell r="B40" t="str">
            <v>VISUAL Y OTROS</v>
          </cell>
          <cell r="C40" t="str">
            <v>Uso de publicidad exterior visual</v>
          </cell>
        </row>
        <row r="41">
          <cell r="B41" t="str">
            <v>VISUAL Y OTROS</v>
          </cell>
          <cell r="C41" t="str">
            <v>Falta de orden y aseo en áreas exteriores</v>
          </cell>
        </row>
        <row r="42">
          <cell r="B42" t="str">
            <v>VISUAL Y OTROS</v>
          </cell>
          <cell r="C42" t="str">
            <v xml:space="preserve">Mantenimiento del  Paisaje y Urbanismo </v>
          </cell>
        </row>
        <row r="43">
          <cell r="B43" t="str">
            <v>VISUAL Y OTROS</v>
          </cell>
          <cell r="C43" t="str">
            <v>Ocupación de espacio público</v>
          </cell>
        </row>
        <row r="44">
          <cell r="B44" t="str">
            <v>VISUAL Y OTROS</v>
          </cell>
          <cell r="C44" t="str">
            <v>Generación de empleo</v>
          </cell>
        </row>
      </sheetData>
      <sheetData sheetId="1" refreshError="1"/>
      <sheetData sheetId="2"/>
      <sheetData sheetId="3">
        <row r="2">
          <cell r="V2" t="str">
            <v>Código:</v>
          </cell>
        </row>
      </sheetData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1">
    <tabColor theme="1"/>
  </sheetPr>
  <dimension ref="A1:AD37"/>
  <sheetViews>
    <sheetView showGridLines="0" zoomScaleNormal="100" zoomScaleSheetLayoutView="100" workbookViewId="0">
      <selection activeCell="D15" sqref="D15"/>
    </sheetView>
  </sheetViews>
  <sheetFormatPr defaultColWidth="0" defaultRowHeight="0" customHeight="1" zeroHeight="1"/>
  <cols>
    <col min="1" max="1" width="3.88671875" style="2" customWidth="1"/>
    <col min="2" max="2" width="17.88671875" style="2" customWidth="1"/>
    <col min="3" max="3" width="22.6640625" style="1" customWidth="1"/>
    <col min="4" max="4" width="49.33203125" style="2" customWidth="1"/>
    <col min="5" max="5" width="48.109375" style="1" customWidth="1"/>
    <col min="6" max="6" width="18.33203125" style="1" customWidth="1"/>
    <col min="7" max="7" width="6.88671875" style="2" customWidth="1"/>
    <col min="8" max="8" width="11.44140625" style="2" hidden="1" customWidth="1"/>
    <col min="9" max="9" width="64.33203125" style="3" hidden="1" customWidth="1"/>
    <col min="10" max="22" width="11.44140625" style="2" hidden="1" customWidth="1"/>
    <col min="23" max="23" width="18.88671875" style="2" hidden="1" customWidth="1"/>
    <col min="24" max="24" width="10.6640625" style="2" hidden="1" customWidth="1"/>
    <col min="25" max="26" width="26" style="2" hidden="1" customWidth="1"/>
    <col min="27" max="27" width="18.88671875" style="2" hidden="1" customWidth="1"/>
    <col min="28" max="28" width="10.6640625" style="2" hidden="1" customWidth="1"/>
    <col min="29" max="30" width="26" style="2" hidden="1" customWidth="1"/>
    <col min="31" max="16384" width="11.44140625" style="2" hidden="1"/>
  </cols>
  <sheetData>
    <row r="1" spans="2:9" ht="13.2">
      <c r="B1" s="1"/>
      <c r="D1" s="1"/>
    </row>
    <row r="2" spans="2:9" s="4" customFormat="1" ht="26.25" customHeight="1">
      <c r="B2" s="124"/>
      <c r="C2" s="124"/>
      <c r="D2" s="125" t="s">
        <v>28</v>
      </c>
      <c r="E2" s="126"/>
      <c r="F2" s="127"/>
    </row>
    <row r="3" spans="2:9" s="4" customFormat="1" ht="26.25" customHeight="1">
      <c r="B3" s="124"/>
      <c r="C3" s="124"/>
      <c r="D3" s="128"/>
      <c r="E3" s="129"/>
      <c r="F3" s="130"/>
    </row>
    <row r="4" spans="2:9" s="4" customFormat="1" ht="12.75" customHeight="1">
      <c r="B4" s="124"/>
      <c r="C4" s="124"/>
      <c r="D4" s="128"/>
      <c r="E4" s="129"/>
      <c r="F4" s="130"/>
    </row>
    <row r="5" spans="2:9" s="4" customFormat="1" ht="9" customHeight="1">
      <c r="B5" s="124"/>
      <c r="C5" s="124"/>
      <c r="D5" s="131"/>
      <c r="E5" s="132"/>
      <c r="F5" s="133"/>
    </row>
    <row r="6" spans="2:9" ht="12.75" customHeight="1"/>
    <row r="7" spans="2:9" ht="14.25" customHeight="1"/>
    <row r="8" spans="2:9" ht="23.25" customHeight="1">
      <c r="B8" s="120" t="s">
        <v>10</v>
      </c>
      <c r="C8" s="120"/>
      <c r="D8" s="120"/>
      <c r="E8" s="120"/>
      <c r="F8" s="120"/>
    </row>
    <row r="9" spans="2:9" ht="23.25" customHeight="1">
      <c r="B9" s="121" t="s">
        <v>15</v>
      </c>
      <c r="C9" s="122"/>
      <c r="D9" s="122"/>
      <c r="E9" s="122"/>
      <c r="F9" s="123"/>
      <c r="G9" s="5"/>
    </row>
    <row r="10" spans="2:9" ht="13.2">
      <c r="B10" s="120" t="s">
        <v>5</v>
      </c>
      <c r="C10" s="120"/>
      <c r="D10" s="51" t="s">
        <v>29</v>
      </c>
      <c r="E10" s="19"/>
      <c r="F10" s="20"/>
    </row>
    <row r="11" spans="2:9" ht="13.2">
      <c r="B11" s="134" t="s">
        <v>6</v>
      </c>
      <c r="C11" s="134" t="s">
        <v>0</v>
      </c>
      <c r="D11" s="134" t="s">
        <v>7</v>
      </c>
      <c r="E11" s="134" t="s">
        <v>17</v>
      </c>
      <c r="F11" s="120" t="s">
        <v>8</v>
      </c>
    </row>
    <row r="12" spans="2:9" ht="42" customHeight="1">
      <c r="B12" s="134"/>
      <c r="C12" s="135"/>
      <c r="D12" s="134"/>
      <c r="E12" s="134"/>
      <c r="F12" s="120"/>
    </row>
    <row r="13" spans="2:9" ht="24" customHeight="1">
      <c r="B13" s="8">
        <v>1</v>
      </c>
      <c r="C13" s="9">
        <v>45478</v>
      </c>
      <c r="D13" s="50" t="s">
        <v>23</v>
      </c>
      <c r="E13" s="8" t="s">
        <v>16</v>
      </c>
      <c r="F13" s="8" t="s">
        <v>14</v>
      </c>
      <c r="I13" s="3" t="str">
        <f>+D13</f>
        <v>Creación del documento</v>
      </c>
    </row>
    <row r="14" spans="2:9" ht="24" customHeight="1">
      <c r="B14" s="6">
        <v>2</v>
      </c>
      <c r="C14" s="7">
        <v>45480</v>
      </c>
      <c r="D14" s="50" t="s">
        <v>75</v>
      </c>
      <c r="E14" s="8" t="s">
        <v>76</v>
      </c>
      <c r="F14" s="6" t="s">
        <v>53</v>
      </c>
      <c r="I14" s="3" t="str">
        <f t="shared" ref="I14:I36" si="0">+D14</f>
        <v xml:space="preserve">Adicion de items y eliminación de otros </v>
      </c>
    </row>
    <row r="15" spans="2:9" ht="43.95" customHeight="1">
      <c r="B15" s="6">
        <v>3</v>
      </c>
      <c r="C15" s="7">
        <v>45490</v>
      </c>
      <c r="D15" s="11" t="s">
        <v>77</v>
      </c>
      <c r="E15" s="8" t="s">
        <v>76</v>
      </c>
      <c r="F15" s="6" t="s">
        <v>14</v>
      </c>
      <c r="I15" s="3" t="str">
        <f t="shared" si="0"/>
        <v>Se cambia la palabra equipo por vehículo, se modifica el orden de la inspección de manera que se optimice tiempos de ejecución de inspecciones preoperacionales</v>
      </c>
    </row>
    <row r="16" spans="2:9" ht="24" customHeight="1">
      <c r="B16" s="6"/>
      <c r="C16" s="7"/>
      <c r="D16" s="10"/>
      <c r="E16" s="8"/>
      <c r="F16" s="6"/>
      <c r="I16" s="3">
        <f t="shared" si="0"/>
        <v>0</v>
      </c>
    </row>
    <row r="17" spans="2:9" ht="24" customHeight="1">
      <c r="B17" s="6"/>
      <c r="C17" s="7"/>
      <c r="D17" s="10"/>
      <c r="E17" s="8"/>
      <c r="F17" s="6"/>
      <c r="I17" s="3">
        <f t="shared" si="0"/>
        <v>0</v>
      </c>
    </row>
    <row r="18" spans="2:9" ht="24" customHeight="1">
      <c r="B18" s="6"/>
      <c r="C18" s="7"/>
      <c r="D18" s="11"/>
      <c r="E18" s="8"/>
      <c r="F18" s="6"/>
      <c r="I18" s="3">
        <f t="shared" si="0"/>
        <v>0</v>
      </c>
    </row>
    <row r="19" spans="2:9" ht="24" customHeight="1">
      <c r="B19" s="6"/>
      <c r="C19" s="7"/>
      <c r="D19" s="10"/>
      <c r="E19" s="8"/>
      <c r="F19" s="6"/>
      <c r="I19" s="3">
        <f t="shared" si="0"/>
        <v>0</v>
      </c>
    </row>
    <row r="20" spans="2:9" ht="31.5" customHeight="1">
      <c r="B20" s="6"/>
      <c r="C20" s="7"/>
      <c r="D20" s="11"/>
      <c r="E20" s="8"/>
      <c r="F20" s="6"/>
      <c r="I20" s="3">
        <f t="shared" si="0"/>
        <v>0</v>
      </c>
    </row>
    <row r="21" spans="2:9" ht="24" customHeight="1">
      <c r="B21" s="6"/>
      <c r="C21" s="7"/>
      <c r="D21" s="11"/>
      <c r="E21" s="8"/>
      <c r="F21" s="6"/>
      <c r="I21" s="3">
        <f t="shared" si="0"/>
        <v>0</v>
      </c>
    </row>
    <row r="22" spans="2:9" ht="50.25" customHeight="1">
      <c r="B22" s="6"/>
      <c r="C22" s="7"/>
      <c r="D22" s="11"/>
      <c r="E22" s="8"/>
      <c r="F22" s="6"/>
      <c r="I22" s="3">
        <f t="shared" si="0"/>
        <v>0</v>
      </c>
    </row>
    <row r="23" spans="2:9" ht="28.5" customHeight="1">
      <c r="B23" s="6"/>
      <c r="C23" s="7"/>
      <c r="D23" s="10"/>
      <c r="E23" s="8"/>
      <c r="F23" s="6"/>
      <c r="I23" s="3">
        <f t="shared" si="0"/>
        <v>0</v>
      </c>
    </row>
    <row r="24" spans="2:9" ht="94.5" customHeight="1">
      <c r="B24" s="6"/>
      <c r="C24" s="7"/>
      <c r="D24" s="11"/>
      <c r="E24" s="8"/>
      <c r="F24" s="6"/>
      <c r="I24" s="3">
        <f t="shared" si="0"/>
        <v>0</v>
      </c>
    </row>
    <row r="25" spans="2:9" ht="24" customHeight="1">
      <c r="B25" s="6"/>
      <c r="C25" s="7"/>
      <c r="D25" s="10"/>
      <c r="E25" s="8"/>
      <c r="F25" s="6"/>
      <c r="I25" s="3">
        <f t="shared" si="0"/>
        <v>0</v>
      </c>
    </row>
    <row r="26" spans="2:9" ht="41.25" customHeight="1">
      <c r="B26" s="6"/>
      <c r="C26" s="7"/>
      <c r="D26" s="10"/>
      <c r="E26" s="8"/>
      <c r="F26" s="6"/>
      <c r="I26" s="3">
        <f t="shared" si="0"/>
        <v>0</v>
      </c>
    </row>
    <row r="27" spans="2:9" ht="24" customHeight="1">
      <c r="B27" s="6"/>
      <c r="C27" s="7"/>
      <c r="D27" s="10"/>
      <c r="E27" s="8"/>
      <c r="F27" s="6"/>
      <c r="I27" s="3">
        <f t="shared" si="0"/>
        <v>0</v>
      </c>
    </row>
    <row r="28" spans="2:9" ht="24" customHeight="1">
      <c r="B28" s="6"/>
      <c r="C28" s="7"/>
      <c r="D28" s="10"/>
      <c r="E28" s="8"/>
      <c r="F28" s="6"/>
      <c r="I28" s="3">
        <f t="shared" si="0"/>
        <v>0</v>
      </c>
    </row>
    <row r="29" spans="2:9" ht="24" customHeight="1">
      <c r="B29" s="6"/>
      <c r="C29" s="7"/>
      <c r="D29" s="10"/>
      <c r="E29" s="8"/>
      <c r="F29" s="6"/>
      <c r="I29" s="3">
        <f t="shared" si="0"/>
        <v>0</v>
      </c>
    </row>
    <row r="30" spans="2:9" ht="24" customHeight="1">
      <c r="B30" s="6"/>
      <c r="C30" s="7"/>
      <c r="D30" s="10"/>
      <c r="E30" s="8"/>
      <c r="F30" s="6"/>
      <c r="I30" s="3">
        <f t="shared" si="0"/>
        <v>0</v>
      </c>
    </row>
    <row r="31" spans="2:9" ht="24" customHeight="1">
      <c r="B31" s="6"/>
      <c r="C31" s="7"/>
      <c r="D31" s="10"/>
      <c r="E31" s="8"/>
      <c r="F31" s="6"/>
      <c r="I31" s="3">
        <f t="shared" si="0"/>
        <v>0</v>
      </c>
    </row>
    <row r="32" spans="2:9" ht="24" customHeight="1">
      <c r="B32" s="6"/>
      <c r="C32" s="7"/>
      <c r="D32" s="10"/>
      <c r="E32" s="8"/>
      <c r="F32" s="6"/>
      <c r="I32" s="3">
        <f t="shared" si="0"/>
        <v>0</v>
      </c>
    </row>
    <row r="33" spans="2:9" ht="24" customHeight="1">
      <c r="B33" s="6"/>
      <c r="C33" s="7"/>
      <c r="D33" s="10"/>
      <c r="E33" s="8"/>
      <c r="F33" s="6"/>
      <c r="I33" s="3">
        <f t="shared" si="0"/>
        <v>0</v>
      </c>
    </row>
    <row r="34" spans="2:9" ht="24" customHeight="1">
      <c r="B34" s="6"/>
      <c r="C34" s="7"/>
      <c r="D34" s="10"/>
      <c r="E34" s="8"/>
      <c r="F34" s="6"/>
      <c r="I34" s="3">
        <f t="shared" si="0"/>
        <v>0</v>
      </c>
    </row>
    <row r="35" spans="2:9" ht="24" customHeight="1">
      <c r="B35" s="6"/>
      <c r="C35" s="7"/>
      <c r="D35" s="10"/>
      <c r="E35" s="8"/>
      <c r="F35" s="6"/>
      <c r="I35" s="3">
        <f t="shared" si="0"/>
        <v>0</v>
      </c>
    </row>
    <row r="36" spans="2:9" ht="24" customHeight="1">
      <c r="B36" s="6"/>
      <c r="C36" s="7"/>
      <c r="D36" s="10"/>
      <c r="E36" s="8"/>
      <c r="F36" s="6"/>
      <c r="I36" s="3">
        <f t="shared" si="0"/>
        <v>0</v>
      </c>
    </row>
    <row r="37" spans="2:9" ht="12.75" customHeight="1"/>
  </sheetData>
  <sheetProtection formatRows="0" sort="0"/>
  <mergeCells count="10">
    <mergeCell ref="F11:F12"/>
    <mergeCell ref="B9:F9"/>
    <mergeCell ref="B8:F8"/>
    <mergeCell ref="B10:C10"/>
    <mergeCell ref="B2:C5"/>
    <mergeCell ref="D2:F5"/>
    <mergeCell ref="B11:B12"/>
    <mergeCell ref="C11:C12"/>
    <mergeCell ref="D11:D12"/>
    <mergeCell ref="E11:E12"/>
  </mergeCells>
  <dataValidations count="2">
    <dataValidation type="date" allowBlank="1" showInputMessage="1" showErrorMessage="1" error="La fecha mínima debe ser hoy" sqref="C13:C36" xr:uid="{00000000-0002-0000-0000-000000000000}">
      <formula1>36891</formula1>
      <formula2>219512</formula2>
    </dataValidation>
    <dataValidation type="list" allowBlank="1" showInputMessage="1" showErrorMessage="1" sqref="E13:E36" xr:uid="{D8C7257B-1580-474F-8369-DCAF73620684}">
      <formula1>"Cambio por estructura del formato, Cambio por actualización del documento"</formula1>
    </dataValidation>
  </dataValidations>
  <pageMargins left="0.7" right="0.7" top="0.75" bottom="0.75" header="0.3" footer="0.3"/>
  <pageSetup scale="55" orientation="portrait" horizontalDpi="4294967295" verticalDpi="4294967295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A365E-8BB9-4F8F-9816-8FEC8BD5F2CF}">
  <sheetPr>
    <pageSetUpPr fitToPage="1"/>
  </sheetPr>
  <dimension ref="A1:Q47"/>
  <sheetViews>
    <sheetView showGridLines="0" tabSelected="1" topLeftCell="A2" zoomScaleNormal="100" zoomScaleSheetLayoutView="80" workbookViewId="0">
      <selection activeCell="P24" sqref="P24"/>
    </sheetView>
  </sheetViews>
  <sheetFormatPr defaultColWidth="9.109375" defaultRowHeight="13.2"/>
  <cols>
    <col min="1" max="1" width="5.88671875" style="12" customWidth="1"/>
    <col min="2" max="2" width="6.5546875" style="12" customWidth="1"/>
    <col min="3" max="3" width="32.109375" style="12" customWidth="1"/>
    <col min="4" max="5" width="4.6640625" style="12" customWidth="1"/>
    <col min="6" max="6" width="7.6640625" style="12" customWidth="1"/>
    <col min="7" max="7" width="4.6640625" style="12" customWidth="1"/>
    <col min="8" max="8" width="7.5546875" style="12" customWidth="1"/>
    <col min="9" max="9" width="27.5546875" style="12" customWidth="1"/>
    <col min="10" max="11" width="4.6640625" style="12" customWidth="1"/>
    <col min="12" max="12" width="7.6640625" style="12" customWidth="1"/>
    <col min="13" max="13" width="42.88671875" style="12" customWidth="1"/>
    <col min="14" max="16" width="8" style="12" customWidth="1"/>
    <col min="17" max="16384" width="9.109375" style="12"/>
  </cols>
  <sheetData>
    <row r="1" spans="1:16" ht="21" customHeight="1">
      <c r="A1" s="81"/>
      <c r="B1" s="82"/>
      <c r="C1" s="82"/>
      <c r="D1" s="85" t="str">
        <f>'Control de Cambios '!D2</f>
        <v>INSPECCION PREOPERACIONAL DE VOLQUETA</v>
      </c>
      <c r="E1" s="85"/>
      <c r="F1" s="85"/>
      <c r="G1" s="85"/>
      <c r="H1" s="85"/>
      <c r="I1" s="85"/>
      <c r="J1" s="85"/>
      <c r="K1" s="85"/>
      <c r="L1" s="86"/>
      <c r="M1" s="36" t="s">
        <v>20</v>
      </c>
      <c r="N1" s="89" t="str">
        <f>'Control de Cambios '!D10</f>
        <v>FT-MANT-19</v>
      </c>
      <c r="O1" s="89"/>
      <c r="P1" s="90"/>
    </row>
    <row r="2" spans="1:16" ht="21" customHeight="1">
      <c r="A2" s="83"/>
      <c r="B2" s="84"/>
      <c r="C2" s="84"/>
      <c r="D2" s="87"/>
      <c r="E2" s="87"/>
      <c r="F2" s="87"/>
      <c r="G2" s="87"/>
      <c r="H2" s="87"/>
      <c r="I2" s="87"/>
      <c r="J2" s="87"/>
      <c r="K2" s="87"/>
      <c r="L2" s="88"/>
      <c r="M2" s="23" t="s">
        <v>18</v>
      </c>
      <c r="N2" s="91">
        <f>MAX('Control de Cambios '!B13:B36)</f>
        <v>3</v>
      </c>
      <c r="O2" s="91"/>
      <c r="P2" s="92"/>
    </row>
    <row r="3" spans="1:16" ht="21" customHeight="1">
      <c r="A3" s="83"/>
      <c r="B3" s="84"/>
      <c r="C3" s="84"/>
      <c r="D3" s="87"/>
      <c r="E3" s="87"/>
      <c r="F3" s="87"/>
      <c r="G3" s="87"/>
      <c r="H3" s="87"/>
      <c r="I3" s="87"/>
      <c r="J3" s="87"/>
      <c r="K3" s="87"/>
      <c r="L3" s="88"/>
      <c r="M3" s="24" t="s">
        <v>19</v>
      </c>
      <c r="N3" s="93">
        <f>MAX('Control de Cambios '!C13:C36)</f>
        <v>45490</v>
      </c>
      <c r="O3" s="93"/>
      <c r="P3" s="94"/>
    </row>
    <row r="4" spans="1:16" ht="6.75" customHeight="1">
      <c r="A4" s="101"/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37"/>
      <c r="O4" s="103"/>
      <c r="P4" s="104"/>
    </row>
    <row r="5" spans="1:16" ht="20.25" customHeight="1">
      <c r="A5" s="13"/>
      <c r="B5" s="38"/>
      <c r="C5" s="34" t="s">
        <v>57</v>
      </c>
      <c r="D5" s="105" t="s">
        <v>9</v>
      </c>
      <c r="E5" s="106"/>
      <c r="F5" s="106"/>
      <c r="G5" s="106"/>
      <c r="H5" s="107"/>
      <c r="I5" s="108" t="s">
        <v>26</v>
      </c>
      <c r="J5" s="109"/>
      <c r="K5" s="109"/>
      <c r="L5" s="109"/>
      <c r="M5" s="31" t="s">
        <v>9</v>
      </c>
      <c r="N5" s="39"/>
      <c r="O5" s="103"/>
      <c r="P5" s="104"/>
    </row>
    <row r="6" spans="1:16" ht="20.25" customHeight="1">
      <c r="A6" s="13"/>
      <c r="B6" s="14"/>
      <c r="C6" s="35" t="s">
        <v>55</v>
      </c>
      <c r="D6" s="110"/>
      <c r="E6" s="111"/>
      <c r="F6" s="111"/>
      <c r="G6" s="111"/>
      <c r="H6" s="112"/>
      <c r="I6" s="116" t="s">
        <v>22</v>
      </c>
      <c r="J6" s="117"/>
      <c r="K6" s="117"/>
      <c r="L6" s="117"/>
      <c r="M6" s="32"/>
      <c r="N6" s="14"/>
      <c r="O6" s="103"/>
      <c r="P6" s="104"/>
    </row>
    <row r="7" spans="1:16" ht="20.25" customHeight="1">
      <c r="A7" s="13"/>
      <c r="B7" s="14"/>
      <c r="C7" s="35" t="s">
        <v>33</v>
      </c>
      <c r="D7" s="110"/>
      <c r="E7" s="111"/>
      <c r="F7" s="111"/>
      <c r="G7" s="111"/>
      <c r="H7" s="112"/>
      <c r="I7" s="118" t="s">
        <v>25</v>
      </c>
      <c r="J7" s="119"/>
      <c r="K7" s="119"/>
      <c r="L7" s="119"/>
      <c r="M7" s="32"/>
      <c r="N7" s="14"/>
      <c r="O7" s="103"/>
      <c r="P7" s="104"/>
    </row>
    <row r="8" spans="1:16" ht="20.25" customHeight="1">
      <c r="A8" s="13"/>
      <c r="B8" s="14"/>
      <c r="C8" s="35" t="s">
        <v>21</v>
      </c>
      <c r="D8" s="113"/>
      <c r="E8" s="114"/>
      <c r="F8" s="114"/>
      <c r="G8" s="114"/>
      <c r="H8" s="115"/>
      <c r="I8" s="67" t="s">
        <v>24</v>
      </c>
      <c r="J8" s="68"/>
      <c r="K8" s="68"/>
      <c r="L8" s="68"/>
      <c r="M8" s="33"/>
      <c r="N8" s="14"/>
      <c r="O8" s="103"/>
      <c r="P8" s="104"/>
    </row>
    <row r="9" spans="1:16">
      <c r="A9" s="13"/>
      <c r="B9" s="40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03"/>
      <c r="P9" s="104"/>
    </row>
    <row r="10" spans="1:16" ht="15.75" customHeight="1">
      <c r="A10" s="72" t="s">
        <v>58</v>
      </c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4"/>
    </row>
    <row r="11" spans="1:16">
      <c r="A11" s="75" t="s">
        <v>1</v>
      </c>
      <c r="B11" s="76"/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7"/>
    </row>
    <row r="12" spans="1:16" s="30" customFormat="1" ht="20.25" customHeight="1">
      <c r="A12" s="78" t="s">
        <v>2</v>
      </c>
      <c r="B12" s="79"/>
      <c r="C12" s="80"/>
      <c r="D12" s="25" t="s">
        <v>3</v>
      </c>
      <c r="E12" s="25" t="s">
        <v>4</v>
      </c>
      <c r="F12" s="25" t="s">
        <v>11</v>
      </c>
      <c r="G12" s="95" t="s">
        <v>2</v>
      </c>
      <c r="H12" s="96"/>
      <c r="I12" s="97"/>
      <c r="J12" s="28" t="s">
        <v>3</v>
      </c>
      <c r="K12" s="25" t="s">
        <v>4</v>
      </c>
      <c r="L12" s="25" t="s">
        <v>12</v>
      </c>
      <c r="M12" s="28" t="s">
        <v>2</v>
      </c>
      <c r="N12" s="29" t="s">
        <v>3</v>
      </c>
      <c r="O12" s="27" t="s">
        <v>4</v>
      </c>
      <c r="P12" s="26" t="s">
        <v>12</v>
      </c>
    </row>
    <row r="13" spans="1:16" ht="15" customHeight="1">
      <c r="A13" s="98" t="s">
        <v>13</v>
      </c>
      <c r="B13" s="99"/>
      <c r="C13" s="99"/>
      <c r="D13" s="15"/>
      <c r="E13" s="15"/>
      <c r="F13" s="163"/>
      <c r="G13" s="100" t="s">
        <v>59</v>
      </c>
      <c r="H13" s="100"/>
      <c r="I13" s="100"/>
      <c r="J13" s="17"/>
      <c r="K13" s="15"/>
      <c r="L13" s="52" t="s">
        <v>52</v>
      </c>
      <c r="M13" s="48" t="s">
        <v>60</v>
      </c>
      <c r="N13" s="18"/>
      <c r="O13" s="18"/>
      <c r="P13" s="49" t="s">
        <v>52</v>
      </c>
    </row>
    <row r="14" spans="1:16" ht="15" customHeight="1">
      <c r="A14" s="69" t="s">
        <v>27</v>
      </c>
      <c r="B14" s="70"/>
      <c r="C14" s="71"/>
      <c r="D14" s="15"/>
      <c r="E14" s="15"/>
      <c r="F14" s="163"/>
      <c r="G14" s="54" t="s">
        <v>61</v>
      </c>
      <c r="H14" s="54"/>
      <c r="I14" s="54"/>
      <c r="J14" s="17"/>
      <c r="K14" s="15"/>
      <c r="L14" s="52" t="s">
        <v>52</v>
      </c>
      <c r="M14" s="48" t="s">
        <v>40</v>
      </c>
      <c r="N14" s="18"/>
      <c r="O14" s="18"/>
      <c r="P14" s="49" t="s">
        <v>52</v>
      </c>
    </row>
    <row r="15" spans="1:16" ht="15" customHeight="1">
      <c r="A15" s="53" t="s">
        <v>62</v>
      </c>
      <c r="B15" s="54"/>
      <c r="C15" s="55"/>
      <c r="D15" s="15"/>
      <c r="E15" s="15"/>
      <c r="F15" s="163"/>
      <c r="G15" s="54" t="s">
        <v>35</v>
      </c>
      <c r="H15" s="54"/>
      <c r="I15" s="54"/>
      <c r="J15" s="17"/>
      <c r="K15" s="15"/>
      <c r="L15" s="52" t="s">
        <v>52</v>
      </c>
      <c r="M15" s="21" t="s">
        <v>44</v>
      </c>
      <c r="N15" s="15"/>
      <c r="O15" s="15"/>
      <c r="P15" s="49" t="s">
        <v>52</v>
      </c>
    </row>
    <row r="16" spans="1:16" ht="15" customHeight="1">
      <c r="A16" s="53" t="s">
        <v>63</v>
      </c>
      <c r="B16" s="54"/>
      <c r="C16" s="55"/>
      <c r="D16" s="15"/>
      <c r="E16" s="15"/>
      <c r="F16" s="163"/>
      <c r="G16" s="43" t="s">
        <v>71</v>
      </c>
      <c r="H16" s="44"/>
      <c r="I16" s="42"/>
      <c r="J16" s="17"/>
      <c r="K16" s="15"/>
      <c r="L16" s="52" t="s">
        <v>52</v>
      </c>
      <c r="M16" s="21" t="s">
        <v>64</v>
      </c>
      <c r="N16" s="15"/>
      <c r="O16" s="15"/>
      <c r="P16" s="49" t="s">
        <v>52</v>
      </c>
    </row>
    <row r="17" spans="1:17" ht="15" customHeight="1">
      <c r="A17" s="53" t="s">
        <v>66</v>
      </c>
      <c r="B17" s="54"/>
      <c r="C17" s="55"/>
      <c r="D17" s="15"/>
      <c r="E17" s="15"/>
      <c r="F17" s="163"/>
      <c r="G17" s="43" t="s">
        <v>31</v>
      </c>
      <c r="H17" s="44"/>
      <c r="I17" s="42"/>
      <c r="J17" s="17"/>
      <c r="K17" s="15"/>
      <c r="L17" s="52" t="s">
        <v>52</v>
      </c>
      <c r="M17" s="21" t="s">
        <v>51</v>
      </c>
      <c r="N17" s="15"/>
      <c r="O17" s="15"/>
      <c r="P17" s="49" t="s">
        <v>52</v>
      </c>
      <c r="Q17" s="12" t="s">
        <v>9</v>
      </c>
    </row>
    <row r="18" spans="1:17" ht="15" customHeight="1">
      <c r="A18" s="53" t="s">
        <v>67</v>
      </c>
      <c r="B18" s="54"/>
      <c r="C18" s="55"/>
      <c r="D18" s="15"/>
      <c r="E18" s="15"/>
      <c r="F18" s="163"/>
      <c r="G18" s="43" t="s">
        <v>42</v>
      </c>
      <c r="H18" s="44"/>
      <c r="I18" s="44"/>
      <c r="J18" s="17"/>
      <c r="K18" s="15"/>
      <c r="L18" s="52" t="s">
        <v>52</v>
      </c>
      <c r="M18" s="21" t="s">
        <v>45</v>
      </c>
      <c r="N18" s="15"/>
      <c r="O18" s="15"/>
      <c r="P18" s="49" t="s">
        <v>52</v>
      </c>
    </row>
    <row r="19" spans="1:17" ht="15" customHeight="1">
      <c r="A19" s="53" t="s">
        <v>65</v>
      </c>
      <c r="B19" s="54"/>
      <c r="C19" s="55"/>
      <c r="D19" s="15"/>
      <c r="E19" s="15"/>
      <c r="F19" s="163"/>
      <c r="G19" s="43" t="s">
        <v>37</v>
      </c>
      <c r="H19" s="44"/>
      <c r="I19" s="42"/>
      <c r="J19" s="17"/>
      <c r="K19" s="15"/>
      <c r="L19" s="52" t="s">
        <v>52</v>
      </c>
      <c r="M19" s="21" t="s">
        <v>32</v>
      </c>
      <c r="N19" s="15"/>
      <c r="O19" s="15"/>
      <c r="P19" s="49" t="s">
        <v>52</v>
      </c>
    </row>
    <row r="20" spans="1:17" ht="15" customHeight="1">
      <c r="A20" s="53" t="s">
        <v>34</v>
      </c>
      <c r="B20" s="54"/>
      <c r="C20" s="55"/>
      <c r="D20" s="15"/>
      <c r="E20" s="15"/>
      <c r="F20" s="163"/>
      <c r="G20" s="43" t="s">
        <v>38</v>
      </c>
      <c r="H20" s="44"/>
      <c r="I20" s="42"/>
      <c r="J20" s="17"/>
      <c r="K20" s="15"/>
      <c r="L20" s="52" t="s">
        <v>52</v>
      </c>
      <c r="M20" s="21" t="s">
        <v>74</v>
      </c>
      <c r="N20" s="15"/>
      <c r="O20" s="15"/>
      <c r="P20" s="49" t="s">
        <v>52</v>
      </c>
    </row>
    <row r="21" spans="1:17" s="14" customFormat="1" ht="15" customHeight="1">
      <c r="A21" s="53" t="s">
        <v>68</v>
      </c>
      <c r="B21" s="54"/>
      <c r="C21" s="55"/>
      <c r="D21" s="15"/>
      <c r="E21" s="15"/>
      <c r="F21" s="163"/>
      <c r="G21" s="43" t="s">
        <v>41</v>
      </c>
      <c r="H21" s="44"/>
      <c r="I21" s="42"/>
      <c r="J21" s="17"/>
      <c r="K21" s="15"/>
      <c r="L21" s="52" t="s">
        <v>52</v>
      </c>
      <c r="M21" s="22" t="s">
        <v>46</v>
      </c>
      <c r="N21" s="15"/>
      <c r="O21" s="15"/>
      <c r="P21" s="49" t="s">
        <v>52</v>
      </c>
    </row>
    <row r="22" spans="1:17" ht="15" customHeight="1">
      <c r="A22" s="53" t="s">
        <v>69</v>
      </c>
      <c r="B22" s="54"/>
      <c r="C22" s="55"/>
      <c r="D22" s="15"/>
      <c r="E22" s="15"/>
      <c r="F22" s="163"/>
      <c r="G22" s="43" t="s">
        <v>48</v>
      </c>
      <c r="H22" s="44"/>
      <c r="I22" s="42"/>
      <c r="J22" s="17"/>
      <c r="K22" s="15"/>
      <c r="L22" s="52" t="s">
        <v>52</v>
      </c>
      <c r="M22" s="22" t="s">
        <v>47</v>
      </c>
      <c r="N22" s="15"/>
      <c r="O22" s="15"/>
      <c r="P22" s="49" t="s">
        <v>52</v>
      </c>
    </row>
    <row r="23" spans="1:17" ht="15" customHeight="1">
      <c r="A23" s="53" t="s">
        <v>70</v>
      </c>
      <c r="B23" s="54"/>
      <c r="C23" s="55"/>
      <c r="D23" s="15"/>
      <c r="E23" s="15"/>
      <c r="F23" s="163"/>
      <c r="G23" s="43" t="s">
        <v>49</v>
      </c>
      <c r="H23" s="44"/>
      <c r="I23" s="42"/>
      <c r="J23" s="17"/>
      <c r="K23" s="15"/>
      <c r="L23" s="52" t="s">
        <v>52</v>
      </c>
      <c r="M23" s="43"/>
      <c r="N23" s="18"/>
      <c r="O23" s="42"/>
      <c r="P23" s="46"/>
    </row>
    <row r="24" spans="1:17" ht="15" customHeight="1">
      <c r="A24" s="53" t="s">
        <v>30</v>
      </c>
      <c r="B24" s="54"/>
      <c r="C24" s="55"/>
      <c r="D24" s="15"/>
      <c r="E24" s="15"/>
      <c r="F24" s="163"/>
      <c r="G24" s="43" t="s">
        <v>50</v>
      </c>
      <c r="H24" s="44"/>
      <c r="I24" s="42"/>
      <c r="J24" s="17"/>
      <c r="K24" s="15"/>
      <c r="L24" s="52" t="s">
        <v>52</v>
      </c>
      <c r="M24" s="43"/>
      <c r="N24" s="18"/>
      <c r="O24" s="42"/>
      <c r="P24" s="47"/>
    </row>
    <row r="25" spans="1:17" ht="15" customHeight="1">
      <c r="A25" s="53" t="s">
        <v>54</v>
      </c>
      <c r="B25" s="54"/>
      <c r="C25" s="55"/>
      <c r="D25" s="15"/>
      <c r="E25" s="15"/>
      <c r="F25" s="163"/>
      <c r="G25" s="43" t="s">
        <v>36</v>
      </c>
      <c r="H25" s="44"/>
      <c r="I25" s="44"/>
      <c r="J25" s="17"/>
      <c r="K25" s="15"/>
      <c r="L25" s="52" t="s">
        <v>52</v>
      </c>
      <c r="M25" s="43"/>
      <c r="N25" s="18"/>
      <c r="O25" s="42"/>
      <c r="P25" s="45" t="s">
        <v>9</v>
      </c>
    </row>
    <row r="26" spans="1:17" ht="15" customHeight="1">
      <c r="A26" s="53" t="s">
        <v>72</v>
      </c>
      <c r="B26" s="54"/>
      <c r="C26" s="55"/>
      <c r="D26" s="15"/>
      <c r="E26" s="15"/>
      <c r="F26" s="163"/>
      <c r="G26" s="43" t="s">
        <v>43</v>
      </c>
      <c r="H26" s="44"/>
      <c r="I26" s="44"/>
      <c r="J26" s="17"/>
      <c r="K26" s="15"/>
      <c r="L26" s="52" t="s">
        <v>52</v>
      </c>
      <c r="M26" s="43"/>
      <c r="N26" s="18"/>
      <c r="O26" s="44"/>
      <c r="P26" s="46"/>
    </row>
    <row r="27" spans="1:17" ht="15" customHeight="1">
      <c r="A27" s="53" t="s">
        <v>73</v>
      </c>
      <c r="B27" s="54"/>
      <c r="C27" s="55"/>
      <c r="D27" s="15"/>
      <c r="E27" s="15"/>
      <c r="F27" s="163"/>
      <c r="G27" s="43" t="s">
        <v>39</v>
      </c>
      <c r="H27" s="44"/>
      <c r="I27" s="44"/>
      <c r="J27" s="17"/>
      <c r="K27" s="15"/>
      <c r="L27" s="52" t="s">
        <v>52</v>
      </c>
      <c r="M27" s="41"/>
      <c r="N27" s="15"/>
      <c r="O27" s="15"/>
      <c r="P27" s="46"/>
    </row>
    <row r="28" spans="1:17" ht="15" customHeight="1" thickBot="1">
      <c r="A28" s="62" t="s">
        <v>9</v>
      </c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4"/>
    </row>
    <row r="29" spans="1:17" ht="14.25" customHeight="1" thickBot="1">
      <c r="A29" s="136" t="s">
        <v>56</v>
      </c>
      <c r="B29" s="137"/>
      <c r="C29" s="137"/>
      <c r="D29" s="137"/>
      <c r="E29" s="137"/>
      <c r="F29" s="137"/>
      <c r="G29" s="137"/>
      <c r="H29" s="137"/>
      <c r="I29" s="137"/>
      <c r="J29" s="65"/>
      <c r="K29" s="65"/>
      <c r="L29" s="65"/>
      <c r="M29" s="65"/>
      <c r="N29" s="65"/>
      <c r="O29" s="65"/>
      <c r="P29" s="66"/>
    </row>
    <row r="30" spans="1:17" ht="24" customHeight="1">
      <c r="A30" s="144" t="s">
        <v>78</v>
      </c>
      <c r="B30" s="140"/>
      <c r="C30" s="140"/>
      <c r="D30" s="140"/>
      <c r="E30" s="140"/>
      <c r="F30" s="140"/>
      <c r="G30" s="140"/>
      <c r="H30" s="140"/>
      <c r="I30" s="141"/>
      <c r="J30" s="145" t="s">
        <v>80</v>
      </c>
      <c r="K30" s="146"/>
      <c r="L30" s="146"/>
      <c r="M30" s="146"/>
      <c r="N30" s="146"/>
      <c r="O30" s="146"/>
      <c r="P30" s="147"/>
    </row>
    <row r="31" spans="1:17" ht="21.6" customHeight="1">
      <c r="A31" s="152" t="s">
        <v>79</v>
      </c>
      <c r="B31" s="153"/>
      <c r="C31" s="154"/>
      <c r="D31" s="154"/>
      <c r="E31" s="154"/>
      <c r="F31" s="154"/>
      <c r="G31" s="154"/>
      <c r="H31" s="154"/>
      <c r="I31" s="155"/>
      <c r="J31" s="157" t="s">
        <v>79</v>
      </c>
      <c r="K31" s="158"/>
      <c r="L31" s="158"/>
      <c r="M31" s="158"/>
      <c r="N31" s="158"/>
      <c r="O31" s="158"/>
      <c r="P31" s="159"/>
    </row>
    <row r="32" spans="1:17" ht="19.8" customHeight="1">
      <c r="A32" s="61" t="s">
        <v>81</v>
      </c>
      <c r="B32" s="138"/>
      <c r="C32" s="139"/>
      <c r="D32" s="139"/>
      <c r="E32" s="139"/>
      <c r="F32" s="139"/>
      <c r="G32" s="139"/>
      <c r="H32" s="139"/>
      <c r="I32" s="74"/>
      <c r="J32" s="156" t="s">
        <v>81</v>
      </c>
      <c r="K32" s="156"/>
      <c r="L32" s="156"/>
      <c r="M32" s="148"/>
      <c r="N32" s="148"/>
      <c r="O32" s="148"/>
      <c r="P32" s="57"/>
    </row>
    <row r="33" spans="1:17" ht="39.6" customHeight="1" thickBot="1">
      <c r="A33" s="149"/>
      <c r="B33" s="150"/>
      <c r="C33" s="142"/>
      <c r="D33" s="142"/>
      <c r="E33" s="142"/>
      <c r="F33" s="142"/>
      <c r="G33" s="142"/>
      <c r="H33" s="142"/>
      <c r="I33" s="143"/>
      <c r="J33" s="151"/>
      <c r="K33" s="151"/>
      <c r="L33" s="151"/>
      <c r="M33" s="59"/>
      <c r="N33" s="59"/>
      <c r="O33" s="59"/>
      <c r="P33" s="60"/>
    </row>
    <row r="34" spans="1:17" s="14" customFormat="1" ht="22.2" customHeight="1">
      <c r="A34" s="160" t="s">
        <v>82</v>
      </c>
      <c r="B34" s="161"/>
      <c r="C34" s="161"/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2"/>
    </row>
    <row r="35" spans="1:17" ht="27.6" customHeight="1">
      <c r="A35" s="56"/>
      <c r="B35" s="148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57"/>
    </row>
    <row r="36" spans="1:17" ht="18" customHeight="1" thickBot="1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60"/>
      <c r="Q36" s="14"/>
    </row>
    <row r="37" spans="1:1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</row>
    <row r="38" spans="1:1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</row>
    <row r="39" spans="1:1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</row>
    <row r="40" spans="1:17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</row>
    <row r="41" spans="1:17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</row>
    <row r="42" spans="1:17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</row>
    <row r="43" spans="1:17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</row>
    <row r="44" spans="1:17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</row>
    <row r="45" spans="1:17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</row>
    <row r="46" spans="1:17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</row>
    <row r="47" spans="1:1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</row>
  </sheetData>
  <mergeCells count="53">
    <mergeCell ref="A35:P36"/>
    <mergeCell ref="M30:P30"/>
    <mergeCell ref="M31:P31"/>
    <mergeCell ref="A32:B32"/>
    <mergeCell ref="C32:I33"/>
    <mergeCell ref="J32:L32"/>
    <mergeCell ref="M32:P33"/>
    <mergeCell ref="A31:B31"/>
    <mergeCell ref="J30:L30"/>
    <mergeCell ref="J31:L31"/>
    <mergeCell ref="C30:I30"/>
    <mergeCell ref="C31:I31"/>
    <mergeCell ref="A4:M4"/>
    <mergeCell ref="O4:P9"/>
    <mergeCell ref="D5:H5"/>
    <mergeCell ref="I5:L5"/>
    <mergeCell ref="D6:H6"/>
    <mergeCell ref="D8:H8"/>
    <mergeCell ref="I6:L6"/>
    <mergeCell ref="D7:H7"/>
    <mergeCell ref="I7:L7"/>
    <mergeCell ref="A1:C3"/>
    <mergeCell ref="D1:L3"/>
    <mergeCell ref="N1:P1"/>
    <mergeCell ref="N2:P2"/>
    <mergeCell ref="N3:P3"/>
    <mergeCell ref="I8:L8"/>
    <mergeCell ref="G15:I15"/>
    <mergeCell ref="G14:I14"/>
    <mergeCell ref="A16:C16"/>
    <mergeCell ref="A19:C19"/>
    <mergeCell ref="A17:C17"/>
    <mergeCell ref="A18:C18"/>
    <mergeCell ref="A14:C14"/>
    <mergeCell ref="A15:C15"/>
    <mergeCell ref="A10:P10"/>
    <mergeCell ref="A11:P11"/>
    <mergeCell ref="A12:C12"/>
    <mergeCell ref="G12:I12"/>
    <mergeCell ref="A13:C13"/>
    <mergeCell ref="G13:I13"/>
    <mergeCell ref="A20:C20"/>
    <mergeCell ref="A34:P34"/>
    <mergeCell ref="A21:C21"/>
    <mergeCell ref="A22:C22"/>
    <mergeCell ref="A23:C23"/>
    <mergeCell ref="A28:P28"/>
    <mergeCell ref="A25:C25"/>
    <mergeCell ref="A26:C26"/>
    <mergeCell ref="A24:C24"/>
    <mergeCell ref="A29:P29"/>
    <mergeCell ref="A27:C27"/>
    <mergeCell ref="A30:B30"/>
  </mergeCells>
  <dataValidations count="6">
    <dataValidation type="list" allowBlank="1" showInputMessage="1" showErrorMessage="1" sqref="M6" xr:uid="{23E25048-37B9-4865-8088-85324F77FE50}">
      <formula1>"Planta Clemencia, Planta Caracolito, Otro Sitio"</formula1>
    </dataValidation>
    <dataValidation type="list" allowBlank="1" showInputMessage="1" showErrorMessage="1" sqref="M8" xr:uid="{471A78EA-459A-4EF2-A6DF-FA23538B2392}">
      <formula1>"Cemex, Cetesa, Argos, Otro"</formula1>
    </dataValidation>
    <dataValidation type="list" allowBlank="1" showInputMessage="1" showErrorMessage="1" sqref="M5" xr:uid="{E30C2CBC-D15A-4EA4-95FE-2D3D1DE6A64B}">
      <formula1>"Equipos Unidos R&amp;R SAS, Proveedor externo"</formula1>
    </dataValidation>
    <dataValidation type="list" allowBlank="1" showInputMessage="1" showErrorMessage="1" sqref="D5:H5" xr:uid="{40989DB0-D6E4-4F63-975D-CE8380F60AEC}">
      <formula1>"Cargador, Cargador externo"</formula1>
    </dataValidation>
    <dataValidation type="list" allowBlank="1" showInputMessage="1" showErrorMessage="1" sqref="D6:H6" xr:uid="{DF6FA687-9EDE-40F2-82D3-2F7BCC652CC8}">
      <formula1>"Caterpilllar 966H1, Caterpillar 966H2, Doosan DL320A, Otro"</formula1>
    </dataValidation>
    <dataValidation type="list" allowBlank="1" showInputMessage="1" showErrorMessage="1" sqref="D7:H7" xr:uid="{F665346E-8509-4146-AAEF-80DBCD1EF974}">
      <formula1>"MI005439, MC096822, MC450096, Otro"</formula1>
    </dataValidation>
  </dataValidations>
  <printOptions horizontalCentered="1" verticalCentered="1"/>
  <pageMargins left="0.23622047244094491" right="0.23622047244094491" top="3.937007874015748E-2" bottom="0.35433070866141736" header="0.31496062992125984" footer="0.31496062992125984"/>
  <pageSetup paperSize="9" scale="53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E4158-5C24-45DB-A3F7-8FC6EA13F9EE}">
  <dimension ref="E8:G14"/>
  <sheetViews>
    <sheetView workbookViewId="0">
      <selection activeCell="E8" sqref="E8:G14"/>
    </sheetView>
  </sheetViews>
  <sheetFormatPr defaultColWidth="11.5546875" defaultRowHeight="13.2"/>
  <sheetData>
    <row r="8" spans="5:7">
      <c r="E8" s="43" t="s">
        <v>36</v>
      </c>
      <c r="F8" s="44"/>
      <c r="G8" s="42"/>
    </row>
    <row r="9" spans="5:7">
      <c r="E9" s="43" t="s">
        <v>37</v>
      </c>
      <c r="F9" s="44"/>
      <c r="G9" s="42"/>
    </row>
    <row r="10" spans="5:7">
      <c r="E10" s="43" t="s">
        <v>38</v>
      </c>
      <c r="F10" s="44"/>
      <c r="G10" s="42"/>
    </row>
    <row r="11" spans="5:7">
      <c r="E11" s="43" t="s">
        <v>41</v>
      </c>
      <c r="F11" s="44"/>
      <c r="G11" s="42"/>
    </row>
    <row r="12" spans="5:7">
      <c r="E12" s="43" t="s">
        <v>48</v>
      </c>
      <c r="F12" s="44"/>
      <c r="G12" s="42"/>
    </row>
    <row r="13" spans="5:7">
      <c r="E13" s="43" t="s">
        <v>49</v>
      </c>
      <c r="F13" s="44"/>
      <c r="G13" s="42"/>
    </row>
    <row r="14" spans="5:7">
      <c r="E14" s="43" t="s">
        <v>50</v>
      </c>
      <c r="F14" s="44"/>
      <c r="G14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Control de Cambios </vt:lpstr>
      <vt:lpstr>FT-MANT-19</vt:lpstr>
      <vt:lpstr>Hoja1</vt:lpstr>
      <vt:lpstr>'Control de Cambios '!Print_Area</vt:lpstr>
      <vt:lpstr>'FT-MANT-19'!Print_Area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Elkyn Silva</cp:lastModifiedBy>
  <cp:lastPrinted>2024-07-21T22:57:10Z</cp:lastPrinted>
  <dcterms:created xsi:type="dcterms:W3CDTF">2015-09-15T20:27:51Z</dcterms:created>
  <dcterms:modified xsi:type="dcterms:W3CDTF">2026-09-19T02:29:22Z</dcterms:modified>
</cp:coreProperties>
</file>