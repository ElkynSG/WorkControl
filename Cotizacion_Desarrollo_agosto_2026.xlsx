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elksi\Android\williApp\"/>
    </mc:Choice>
  </mc:AlternateContent>
  <bookViews>
    <workbookView xWindow="0" yWindow="0" windowWidth="0" windowHeight="0"/>
  </bookViews>
  <sheets>
    <sheet name="Cotización" sheetId="1" r:id="rId1"/>
  </sheets>
  <calcPr/>
</workbook>
</file>

<file path=xl/calcChain.xml><?xml version="1.0" encoding="utf-8"?>
<calcChain xmlns="http://schemas.openxmlformats.org/spreadsheetml/2006/main">
  <c i="1" l="1" r="C23"/>
  <c r="D20"/>
  <c r="D19"/>
  <c r="D18"/>
  <c r="D17"/>
  <c r="D16"/>
  <c r="D15"/>
  <c r="D14"/>
  <c r="D12"/>
  <c r="D13"/>
  <c r="E13"/>
  <c r="E16"/>
  <c r="E14"/>
  <c r="E12"/>
  <c r="E15"/>
  <c r="E17"/>
  <c l="1" r="E20"/>
  <c r="E18"/>
  <c r="E19"/>
  <c l="1" r="E23"/>
  <c l="1" r="E24"/>
  <c r="E25"/>
</calcChain>
</file>

<file path=xl/sharedStrings.xml><?xml version="1.0" encoding="utf-8"?>
<sst xmlns="http://schemas.openxmlformats.org/spreadsheetml/2006/main">
  <si>
    <t>COTIZACIÓN DE DESARROLLO DE SOFTWARE / EQUIPOS UNIDOS</t>
  </si>
  <si>
    <t>Servicios Profesionales de Desarrollo Mobile &amp; Soluciones Tecnológicas</t>
  </si>
  <si>
    <t>INFORMACIÓN DEL CLIENTE Y PROYECTO</t>
  </si>
  <si>
    <t>DATOS DEL DESARROLLADOR</t>
  </si>
  <si>
    <t>Cliente / Empresa:</t>
  </si>
  <si>
    <t>Equipos Unidos S.A.S.</t>
  </si>
  <si>
    <t>Desarrollador:</t>
  </si>
  <si>
    <t>Elkyn Silva Gonzalez</t>
  </si>
  <si>
    <t>Atención a:</t>
  </si>
  <si>
    <t>Equipos Unidos</t>
  </si>
  <si>
    <t>Email / Teléfono:</t>
  </si>
  <si>
    <t>elksil88@gmail.com | 3102704427</t>
  </si>
  <si>
    <t>Proyecto:</t>
  </si>
  <si>
    <t>Control de cambios-modulo de vales</t>
  </si>
  <si>
    <t>Valor hora</t>
  </si>
  <si>
    <t>Fecha de Emisión:</t>
  </si>
  <si>
    <t>2026-08-10</t>
  </si>
  <si>
    <t>Moneda de Cobro:</t>
  </si>
  <si>
    <t>COP</t>
  </si>
  <si>
    <t>Validez de la Oferta:</t>
  </si>
  <si>
    <t>15 Días calendarios</t>
  </si>
  <si>
    <t>Cotización N°:</t>
  </si>
  <si>
    <t>COT-2026-001</t>
  </si>
  <si>
    <t>Módulo / Categoria</t>
  </si>
  <si>
    <t>Actividad / Tarea Detallada</t>
  </si>
  <si>
    <t>Horas Est.</t>
  </si>
  <si>
    <t>Valor Hora</t>
  </si>
  <si>
    <t>Subtotal</t>
  </si>
  <si>
    <t>Estado</t>
  </si>
  <si>
    <t>1. Toma de Requerimientos &amp; UI/UX</t>
  </si>
  <si>
    <t>Levantamiento de información, historias de usuario y diseño de wireframes</t>
  </si>
  <si>
    <t>Aprobado</t>
  </si>
  <si>
    <t>2. Modificacion de base de datos</t>
  </si>
  <si>
    <t>Agregar tablas para vales, reporte mensual y vale temporal</t>
  </si>
  <si>
    <t>3. Modificacion de menu principal</t>
  </si>
  <si>
    <t>Se modifica menu principal y filtro de acceso</t>
  </si>
  <si>
    <t>4. Pantalla vale</t>
  </si>
  <si>
    <t>Se agrega pantalla para la digitalizacion de vale inicial</t>
  </si>
  <si>
    <t>5. Pantalla finalizacion vale</t>
  </si>
  <si>
    <t>Se agrega pantalla para la finalizacion del vale</t>
  </si>
  <si>
    <t>6. Plantilla vale</t>
  </si>
  <si>
    <t>Generacion de vale por mes y carpetas</t>
  </si>
  <si>
    <t>7. Plantilla reporte de vales</t>
  </si>
  <si>
    <t>Generacion de reporte de los vales por mes</t>
  </si>
  <si>
    <t>8. Flujos alternativos</t>
  </si>
  <si>
    <t>Control de errores, mensajes, otros</t>
  </si>
  <si>
    <t>9. Pruebas, QA &amp; Despliegue</t>
  </si>
  <si>
    <t>Pruebas</t>
  </si>
  <si>
    <t>HORAS ESTIMADAS</t>
  </si>
  <si>
    <t>Subtotal:</t>
  </si>
  <si>
    <t>Impuestos / IVA (19%):</t>
  </si>
  <si>
    <t>VALOR TOTAL PROYECTO:</t>
  </si>
</sst>
</file>

<file path=xl/styles.xml><?xml version="1.0" encoding="utf-8"?>
<styleSheet xmlns="http://schemas.openxmlformats.org/spreadsheetml/2006/main">
  <numFmts count="3">
    <numFmt numFmtId="164" formatCode="&quot;$&quot;#,##0"/>
    <numFmt numFmtId="165" formatCode="#,##0 &quot;hrs&quot;"/>
    <numFmt numFmtId="166" formatCode="$#,##0.00"/>
  </numFmts>
  <fonts count="8">
    <font>
      <sz val="11"/>
      <color theme="1"/>
      <name val="Calibri"/>
      <family val="2"/>
      <scheme val="minor"/>
    </font>
    <font>
      <b/>
      <sz val="18"/>
      <color rgb="FF1B365D"/>
      <name val="Calibri"/>
    </font>
    <font>
      <i/>
      <sz val="11"/>
      <color rgb="FF555555"/>
      <name val="Calibri"/>
    </font>
    <font>
      <b/>
      <sz val="12"/>
      <color rgb="FFFFFFFF"/>
      <name val="Calibri"/>
    </font>
    <font>
      <b/>
      <sz val="11"/>
      <name val="Calibri"/>
    </font>
    <font>
      <sz val="11"/>
      <name val="Calibri"/>
    </font>
    <font>
      <b/>
      <sz val="11"/>
      <color rgb="FFFFFFFF"/>
      <name val="Calibri"/>
    </font>
    <font>
      <b/>
      <sz val="12"/>
      <color rgb="FF1B365D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E5B88"/>
        <bgColor rgb="FF2E5B88"/>
      </patternFill>
    </fill>
    <fill>
      <patternFill patternType="solid">
        <fgColor rgb="FF1B365D"/>
        <bgColor rgb="FF1B365D"/>
      </patternFill>
    </fill>
    <fill>
      <patternFill patternType="solid">
        <fgColor rgb="FFF9FAFC"/>
        <bgColor rgb="FFF9FAFC"/>
      </patternFill>
    </fill>
    <fill>
      <patternFill patternType="solid">
        <fgColor rgb="FFF2F5F9"/>
        <bgColor rgb="FFF2F5F9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1B365D"/>
      </top>
      <bottom style="double">
        <color rgb="FF1B365D"/>
      </bottom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 vertical="center" indent="1"/>
    </xf>
    <xf numFmtId="0" fontId="4" fillId="0" borderId="0" xfId="0" applyFont="1"/>
    <xf numFmtId="0" fontId="5" fillId="0" borderId="0" xfId="0" applyFont="1"/>
    <xf numFmtId="164" fontId="5" fillId="0" borderId="0" xfId="0" applyNumberFormat="1" applyFont="1" applyAlignment="1">
      <alignment horizontal="left"/>
    </xf>
    <xf numFmtId="0" fontId="6" fillId="3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165" fontId="5" fillId="0" borderId="1" xfId="0" applyNumberFormat="1" applyFont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166" fontId="5" fillId="4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right"/>
    </xf>
    <xf numFmtId="165" fontId="4" fillId="0" borderId="1" xfId="0" applyNumberFormat="1" applyFont="1" applyBorder="1"/>
    <xf numFmtId="0" fontId="4" fillId="0" borderId="0" xfId="0" applyFont="1" applyAlignment="1">
      <alignment horizontal="right"/>
    </xf>
    <xf numFmtId="166" fontId="4" fillId="0" borderId="1" xfId="0" applyNumberFormat="1" applyFont="1" applyBorder="1"/>
    <xf numFmtId="0" fontId="5" fillId="0" borderId="0" xfId="0" applyFont="1" applyAlignment="1">
      <alignment horizontal="left"/>
    </xf>
    <xf numFmtId="166" fontId="5" fillId="0" borderId="1" xfId="0" applyNumberFormat="1" applyFont="1" applyBorder="1"/>
    <xf numFmtId="0" fontId="7" fillId="0" borderId="0" xfId="0" applyFont="1" applyAlignment="1">
      <alignment horizontal="right"/>
    </xf>
    <xf numFmtId="166" fontId="7" fillId="5" borderId="2" xfId="0" applyNumberFormat="1" applyFont="1" applyFill="1" applyBorder="1"/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B9" sqref="B9"/>
    </sheetView>
  </sheetViews>
  <sheetFormatPr defaultRowHeight="15"/>
  <cols>
    <col min="1" max="1" width="36.57031" customWidth="1"/>
    <col min="2" max="2" width="65" customWidth="1"/>
    <col min="3" max="3" width="14" customWidth="1"/>
    <col min="4" max="4" width="24.14063" customWidth="1"/>
    <col min="5" max="5" width="18" customWidth="1"/>
    <col min="6" max="6" width="14" customWidth="1"/>
  </cols>
  <sheetData>
    <row r="1" ht="23.25">
      <c r="A1" s="1" t="s">
        <v>0</v>
      </c>
    </row>
    <row r="2">
      <c r="A2" s="2" t="s">
        <v>1</v>
      </c>
    </row>
    <row r="4" ht="15.75">
      <c r="A4" s="3" t="s">
        <v>2</v>
      </c>
      <c r="D4" s="3" t="s">
        <v>3</v>
      </c>
    </row>
    <row r="5">
      <c r="A5" s="4" t="s">
        <v>4</v>
      </c>
      <c r="B5" s="5" t="s">
        <v>5</v>
      </c>
      <c r="D5" s="4" t="s">
        <v>6</v>
      </c>
      <c r="E5" s="5" t="s">
        <v>7</v>
      </c>
    </row>
    <row r="6">
      <c r="A6" s="4" t="s">
        <v>8</v>
      </c>
      <c r="B6" s="5" t="s">
        <v>9</v>
      </c>
      <c r="D6" s="4" t="s">
        <v>10</v>
      </c>
      <c r="E6" s="5" t="s">
        <v>11</v>
      </c>
    </row>
    <row r="7">
      <c r="A7" s="4" t="s">
        <v>12</v>
      </c>
      <c r="B7" s="5" t="s">
        <v>13</v>
      </c>
      <c r="D7" s="4" t="s">
        <v>14</v>
      </c>
      <c r="E7" s="6">
        <v>40000</v>
      </c>
    </row>
    <row r="8">
      <c r="A8" s="4" t="s">
        <v>15</v>
      </c>
      <c r="B8" s="5" t="s">
        <v>16</v>
      </c>
      <c r="D8" s="4" t="s">
        <v>17</v>
      </c>
      <c r="E8" s="5" t="s">
        <v>18</v>
      </c>
    </row>
    <row r="9">
      <c r="A9" s="4" t="s">
        <v>19</v>
      </c>
      <c r="B9" s="5" t="s">
        <v>20</v>
      </c>
      <c r="D9" s="4" t="s">
        <v>21</v>
      </c>
      <c r="E9" s="5" t="s">
        <v>22</v>
      </c>
    </row>
    <row r="11">
      <c r="A11" s="7" t="s">
        <v>23</v>
      </c>
      <c r="B11" s="7" t="s">
        <v>24</v>
      </c>
      <c r="C11" s="7" t="s">
        <v>25</v>
      </c>
      <c r="D11" s="7" t="s">
        <v>26</v>
      </c>
      <c r="E11" s="7" t="s">
        <v>27</v>
      </c>
      <c r="F11" s="7" t="s">
        <v>28</v>
      </c>
    </row>
    <row r="12" ht="30">
      <c r="A12" s="8" t="s">
        <v>29</v>
      </c>
      <c r="B12" s="9" t="s">
        <v>30</v>
      </c>
      <c r="C12" s="10">
        <v>2</v>
      </c>
      <c r="D12" s="11">
        <f>E7</f>
        <v>40000</v>
      </c>
      <c r="E12" s="11">
        <f>C12*D12</f>
        <v>80000</v>
      </c>
      <c r="F12" s="12" t="s">
        <v>31</v>
      </c>
    </row>
    <row r="13">
      <c r="A13" s="13" t="s">
        <v>32</v>
      </c>
      <c r="B13" s="14" t="s">
        <v>33</v>
      </c>
      <c r="C13" s="15">
        <v>4</v>
      </c>
      <c r="D13" s="11">
        <f>E7</f>
        <v>40000</v>
      </c>
      <c r="E13" s="16">
        <f>C13*D13</f>
        <v>160000</v>
      </c>
      <c r="F13" s="17" t="s">
        <v>31</v>
      </c>
    </row>
    <row r="14">
      <c r="A14" s="9" t="s">
        <v>34</v>
      </c>
      <c r="B14" s="8" t="s">
        <v>35</v>
      </c>
      <c r="C14" s="10">
        <v>1</v>
      </c>
      <c r="D14" s="11">
        <f>E7</f>
        <v>40000</v>
      </c>
      <c r="E14" s="11">
        <f>C14*D14</f>
        <v>40000</v>
      </c>
      <c r="F14" s="12" t="s">
        <v>31</v>
      </c>
    </row>
    <row r="15">
      <c r="A15" s="14" t="s">
        <v>36</v>
      </c>
      <c r="B15" s="14" t="s">
        <v>37</v>
      </c>
      <c r="C15" s="15">
        <v>4</v>
      </c>
      <c r="D15" s="11">
        <f>E7</f>
        <v>40000</v>
      </c>
      <c r="E15" s="16">
        <f>C15*D15</f>
        <v>160000</v>
      </c>
      <c r="F15" s="17" t="s">
        <v>31</v>
      </c>
    </row>
    <row r="16">
      <c r="A16" s="8" t="s">
        <v>38</v>
      </c>
      <c r="B16" s="8" t="s">
        <v>39</v>
      </c>
      <c r="C16" s="10">
        <v>6</v>
      </c>
      <c r="D16" s="11">
        <f>E7</f>
        <v>40000</v>
      </c>
      <c r="E16" s="11">
        <f>C16*D16</f>
        <v>240000</v>
      </c>
      <c r="F16" s="12" t="s">
        <v>31</v>
      </c>
    </row>
    <row r="17">
      <c r="A17" s="14" t="s">
        <v>40</v>
      </c>
      <c r="B17" s="14" t="s">
        <v>41</v>
      </c>
      <c r="C17" s="15">
        <v>8</v>
      </c>
      <c r="D17" s="11">
        <f>E7</f>
        <v>40000</v>
      </c>
      <c r="E17" s="16">
        <f>C17*D17</f>
        <v>320000</v>
      </c>
      <c r="F17" s="17" t="s">
        <v>31</v>
      </c>
    </row>
    <row r="18">
      <c r="A18" s="8" t="s">
        <v>42</v>
      </c>
      <c r="B18" s="8" t="s">
        <v>43</v>
      </c>
      <c r="C18" s="10">
        <v>16</v>
      </c>
      <c r="D18" s="11">
        <f>E7</f>
        <v>40000</v>
      </c>
      <c r="E18" s="11">
        <f>C18*D18</f>
        <v>640000</v>
      </c>
      <c r="F18" s="12" t="s">
        <v>31</v>
      </c>
    </row>
    <row r="19">
      <c r="A19" s="14" t="s">
        <v>44</v>
      </c>
      <c r="B19" s="14" t="s">
        <v>45</v>
      </c>
      <c r="C19" s="15">
        <v>4</v>
      </c>
      <c r="D19" s="11">
        <f>E7</f>
        <v>40000</v>
      </c>
      <c r="E19" s="16">
        <f>C19*D19</f>
        <v>160000</v>
      </c>
      <c r="F19" s="17" t="s">
        <v>31</v>
      </c>
    </row>
    <row r="20">
      <c r="A20" s="14" t="s">
        <v>46</v>
      </c>
      <c r="B20" s="8" t="s">
        <v>47</v>
      </c>
      <c r="C20" s="10">
        <v>4</v>
      </c>
      <c r="D20" s="11">
        <f>E7</f>
        <v>40000</v>
      </c>
      <c r="E20" s="11">
        <f>C20*D20</f>
        <v>160000</v>
      </c>
      <c r="F20" s="17" t="s">
        <v>31</v>
      </c>
    </row>
    <row r="21">
      <c r="A21" s="14"/>
      <c r="B21" s="14"/>
      <c r="C21" s="15"/>
      <c r="D21" s="18"/>
      <c r="E21" s="18"/>
      <c r="F21" s="17"/>
    </row>
    <row r="23">
      <c r="B23" s="19" t="s">
        <v>48</v>
      </c>
      <c r="C23" s="20">
        <f>SUM(C12:C21)</f>
        <v>49</v>
      </c>
      <c r="D23" s="21" t="s">
        <v>49</v>
      </c>
      <c r="E23" s="22">
        <f>SUM(E12:E21)</f>
        <v>1960000</v>
      </c>
    </row>
    <row r="24">
      <c r="D24" s="23" t="s">
        <v>50</v>
      </c>
      <c r="E24" s="24">
        <f>(E23*0.01)*19</f>
        <v>372400</v>
      </c>
    </row>
    <row r="25" thickBot="1" ht="16.5">
      <c r="D25" s="25" t="s">
        <v>51</v>
      </c>
      <c r="E25" s="26">
        <f>E23+E24</f>
        <v>2332400</v>
      </c>
    </row>
    <row r="28">
      <c r="A28" s="27"/>
    </row>
    <row r="29">
      <c r="A29" s="27"/>
    </row>
    <row r="30">
      <c r="A30" s="27"/>
    </row>
    <row r="31">
      <c r="A31" s="27"/>
    </row>
    <row r="32">
      <c r="A32" s="27"/>
    </row>
  </sheetData>
  <mergeCells count="7">
    <mergeCell ref="A29:F29"/>
    <mergeCell ref="A28:F28"/>
    <mergeCell ref="A31:F31"/>
    <mergeCell ref="A32:F32"/>
    <mergeCell ref="D4:F4"/>
    <mergeCell ref="A4:B4"/>
    <mergeCell ref="A30:F30"/>
  </mergeCells>
  <dataValidations count="1">
    <dataValidation type="list" allowBlank="1" sqref="F12:F29">
      <formula1>"Aprobado,Opcional,Pendiente"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DevExpress Office File API/25.2.6.0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Elkyn Silva</cp:lastModifiedBy>
  <dcterms:created xsi:type="dcterms:W3CDTF">2026-08-10T00:20:03Z</dcterms:created>
  <dcterms:modified xsi:type="dcterms:W3CDTF">2026-08-10T01:07:29Z</dcterms:modified>
</cp:coreProperties>
</file>